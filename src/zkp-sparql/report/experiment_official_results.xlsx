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nsubria365-my.sharepoint.com/personal/qnguyenthanh_studenti_uninsubria_it/Documents/Documents/shinPhD/Experiment-logs/"/>
    </mc:Choice>
  </mc:AlternateContent>
  <xr:revisionPtr revIDLastSave="335" documentId="11_66C972AFD3F0D14CB3992311595ED87656CD925F" xr6:coauthVersionLast="47" xr6:coauthVersionMax="47" xr10:uidLastSave="{1F05C68E-9430-4A52-AAB7-844691DDAE7E}"/>
  <bookViews>
    <workbookView xWindow="-120" yWindow="-120" windowWidth="29040" windowHeight="17520" activeTab="6" xr2:uid="{00000000-000D-0000-FFFF-FFFF00000000}"/>
  </bookViews>
  <sheets>
    <sheet name="General" sheetId="1" r:id="rId1"/>
    <sheet name="25pct" sheetId="2" r:id="rId2"/>
    <sheet name="50pct" sheetId="3" r:id="rId3"/>
    <sheet name="100pct" sheetId="4" r:id="rId4"/>
    <sheet name="swdf" sheetId="5" r:id="rId5"/>
    <sheet name="drugbank" sheetId="6" r:id="rId6"/>
    <sheet name="bsbm" sheetId="7" r:id="rId7"/>
    <sheet name="bsbm_compared" sheetId="8" r:id="rId8"/>
    <sheet name="swdf_single_ga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2" i="5"/>
</calcChain>
</file>

<file path=xl/sharedStrings.xml><?xml version="1.0" encoding="utf-8"?>
<sst xmlns="http://schemas.openxmlformats.org/spreadsheetml/2006/main" count="327" uniqueCount="46">
  <si>
    <t>Dataset</t>
  </si>
  <si>
    <t>Query</t>
  </si>
  <si>
    <t>Param (k)</t>
  </si>
  <si>
    <t>Num Query Results</t>
  </si>
  <si>
    <t>Query Execution Time (s)</t>
  </si>
  <si>
    <t>Time to Generate Proof (s)</t>
  </si>
  <si>
    <t>Time to Verify Proof (s)</t>
  </si>
  <si>
    <t>Proving Time (s)</t>
  </si>
  <si>
    <t>swdf</t>
  </si>
  <si>
    <t>q1_select.sparql</t>
  </si>
  <si>
    <t>q2_select.sparql</t>
  </si>
  <si>
    <t>q3_select.sparql</t>
  </si>
  <si>
    <t>q4_ask.sparql</t>
  </si>
  <si>
    <t>q5_select.sparql</t>
  </si>
  <si>
    <t>drugbank</t>
  </si>
  <si>
    <t>bsbm</t>
  </si>
  <si>
    <t>bsbm_converted</t>
  </si>
  <si>
    <t>q4_select.sparql</t>
  </si>
  <si>
    <t>Param</t>
  </si>
  <si>
    <t>Num_Results</t>
  </si>
  <si>
    <t>Execution_Time</t>
  </si>
  <si>
    <t>Time_to_Generate_Proof</t>
  </si>
  <si>
    <t>Time_to_Verify_Proof</t>
  </si>
  <si>
    <t>Proving_Time</t>
  </si>
  <si>
    <t>Q1</t>
  </si>
  <si>
    <t>Q2</t>
  </si>
  <si>
    <t>Q3</t>
  </si>
  <si>
    <t>Q4</t>
  </si>
  <si>
    <t>Q5</t>
  </si>
  <si>
    <t>Memory</t>
  </si>
  <si>
    <t>ZKP-SPARQL</t>
  </si>
  <si>
    <t>PoneglyphDB</t>
  </si>
  <si>
    <t>Gate</t>
  </si>
  <si>
    <t>1 Filter</t>
  </si>
  <si>
    <t>5 Aggregations</t>
  </si>
  <si>
    <t>Dataset Size</t>
  </si>
  <si>
    <t>Running Time</t>
  </si>
  <si>
    <t>Proof Size</t>
  </si>
  <si>
    <t>Memory_MB</t>
  </si>
  <si>
    <t>Proof Verification Time</t>
  </si>
  <si>
    <t>Groupby-Orderby</t>
  </si>
  <si>
    <t>Union</t>
  </si>
  <si>
    <t>Optional</t>
  </si>
  <si>
    <t>Minus</t>
  </si>
  <si>
    <t>Distinct</t>
  </si>
  <si>
    <t>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</si>
</sst>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quotePrefix="1" applyNumberFormat="1"/>
    <xf numFmtId="0" fontId="1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opLeftCell="A13" workbookViewId="0">
      <selection activeCell="A32" sqref="A32:H4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v>8.0802514553070068</v>
      </c>
    </row>
    <row r="3" spans="1:8" x14ac:dyDescent="0.25">
      <c r="A3" t="s">
        <v>8</v>
      </c>
      <c r="B3" t="s">
        <v>10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v>14.14151310920715</v>
      </c>
    </row>
    <row r="4" spans="1:8" x14ac:dyDescent="0.25">
      <c r="A4" t="s">
        <v>8</v>
      </c>
      <c r="B4" t="s">
        <v>11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v>15.14360785484314</v>
      </c>
    </row>
    <row r="5" spans="1:8" x14ac:dyDescent="0.25">
      <c r="A5" t="s">
        <v>8</v>
      </c>
      <c r="B5" t="s">
        <v>12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v>6.4740762710571289</v>
      </c>
    </row>
    <row r="6" spans="1:8" x14ac:dyDescent="0.25">
      <c r="A6" t="s">
        <v>8</v>
      </c>
      <c r="B6" t="s">
        <v>13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v>52.294199705123901</v>
      </c>
    </row>
    <row r="7" spans="1:8" x14ac:dyDescent="0.25">
      <c r="A7" t="s">
        <v>14</v>
      </c>
      <c r="B7" t="s">
        <v>9</v>
      </c>
      <c r="C7">
        <v>18</v>
      </c>
      <c r="D7">
        <v>7609</v>
      </c>
      <c r="E7">
        <v>3.9959721565246582</v>
      </c>
      <c r="F7">
        <v>194.62074728799999</v>
      </c>
      <c r="G7">
        <v>2.1687286490000002</v>
      </c>
      <c r="H7">
        <v>40.761738777160637</v>
      </c>
    </row>
    <row r="8" spans="1:8" x14ac:dyDescent="0.25">
      <c r="A8" t="s">
        <v>14</v>
      </c>
      <c r="B8" t="s">
        <v>10</v>
      </c>
      <c r="C8">
        <v>18</v>
      </c>
      <c r="D8">
        <v>17</v>
      </c>
      <c r="E8">
        <v>6.1681852340698242</v>
      </c>
      <c r="F8">
        <v>197.354351751</v>
      </c>
      <c r="G8">
        <v>2.1298930619999998</v>
      </c>
      <c r="H8">
        <v>24.485044002532959</v>
      </c>
    </row>
    <row r="9" spans="1:8" x14ac:dyDescent="0.25">
      <c r="A9" t="s">
        <v>14</v>
      </c>
      <c r="B9" t="s">
        <v>11</v>
      </c>
      <c r="C9">
        <v>18</v>
      </c>
      <c r="D9">
        <v>17</v>
      </c>
      <c r="E9">
        <v>6.1492478847503662</v>
      </c>
      <c r="F9">
        <v>196.83616414100001</v>
      </c>
      <c r="G9">
        <v>2.1397414189999999</v>
      </c>
      <c r="H9">
        <v>26.01601600646973</v>
      </c>
    </row>
    <row r="10" spans="1:8" x14ac:dyDescent="0.25">
      <c r="A10" t="s">
        <v>14</v>
      </c>
      <c r="B10" t="s">
        <v>12</v>
      </c>
      <c r="C10">
        <v>18</v>
      </c>
      <c r="D10">
        <v>1</v>
      </c>
      <c r="E10">
        <v>5.6897425651550293</v>
      </c>
      <c r="F10">
        <v>195.99264544499999</v>
      </c>
      <c r="G10">
        <v>2.1637875320000002</v>
      </c>
      <c r="H10">
        <v>11.070473194122309</v>
      </c>
    </row>
    <row r="11" spans="1:8" x14ac:dyDescent="0.25">
      <c r="A11" t="s">
        <v>14</v>
      </c>
      <c r="B11" t="s">
        <v>13</v>
      </c>
      <c r="C11">
        <v>18</v>
      </c>
      <c r="D11">
        <v>187</v>
      </c>
      <c r="E11">
        <v>1555.46484375</v>
      </c>
      <c r="F11">
        <v>812.41286106200005</v>
      </c>
      <c r="G11">
        <v>1.873611854</v>
      </c>
      <c r="H11">
        <v>69.02873969078064</v>
      </c>
    </row>
    <row r="12" spans="1:8" x14ac:dyDescent="0.25">
      <c r="A12" t="s">
        <v>15</v>
      </c>
      <c r="B12" t="s">
        <v>9</v>
      </c>
      <c r="C12">
        <v>17</v>
      </c>
      <c r="D12">
        <v>0</v>
      </c>
      <c r="E12">
        <v>0.20319342613220209</v>
      </c>
      <c r="F12">
        <v>94.404121171</v>
      </c>
      <c r="G12">
        <v>1.220279739</v>
      </c>
      <c r="H12">
        <v>4.1363911628723136</v>
      </c>
    </row>
    <row r="13" spans="1:8" x14ac:dyDescent="0.25">
      <c r="A13" t="s">
        <v>15</v>
      </c>
      <c r="B13" t="s">
        <v>10</v>
      </c>
      <c r="C13">
        <v>17</v>
      </c>
      <c r="D13">
        <v>54</v>
      </c>
      <c r="E13">
        <v>0.64592432975769043</v>
      </c>
      <c r="F13">
        <v>96.220910286999995</v>
      </c>
      <c r="G13">
        <v>1.2218654710000001</v>
      </c>
      <c r="H13">
        <v>18.323354005813599</v>
      </c>
    </row>
    <row r="14" spans="1:8" x14ac:dyDescent="0.25">
      <c r="A14" t="s">
        <v>15</v>
      </c>
      <c r="B14" t="s">
        <v>11</v>
      </c>
      <c r="C14">
        <v>17</v>
      </c>
      <c r="D14">
        <v>54</v>
      </c>
      <c r="E14">
        <v>0.65021800994873047</v>
      </c>
      <c r="F14">
        <v>96.062343189000003</v>
      </c>
      <c r="G14">
        <v>1.047254761</v>
      </c>
      <c r="H14">
        <v>19.837069511413571</v>
      </c>
    </row>
    <row r="15" spans="1:8" x14ac:dyDescent="0.25">
      <c r="A15" t="s">
        <v>15</v>
      </c>
      <c r="B15" t="s">
        <v>12</v>
      </c>
      <c r="C15">
        <v>17</v>
      </c>
      <c r="D15">
        <v>1</v>
      </c>
      <c r="E15">
        <v>0.35034394264221191</v>
      </c>
      <c r="F15">
        <v>93.495042781999999</v>
      </c>
      <c r="G15">
        <v>1.046061192</v>
      </c>
      <c r="H15">
        <v>5.1880824565887451</v>
      </c>
    </row>
    <row r="16" spans="1:8" x14ac:dyDescent="0.25">
      <c r="A16" t="s">
        <v>15</v>
      </c>
      <c r="B16" t="s">
        <v>13</v>
      </c>
      <c r="C16">
        <v>17</v>
      </c>
      <c r="D16">
        <v>4</v>
      </c>
      <c r="E16">
        <v>1.243052005767822</v>
      </c>
      <c r="F16">
        <v>98.754815922999995</v>
      </c>
      <c r="G16">
        <v>1.050751478</v>
      </c>
      <c r="H16">
        <v>18.046691417694088</v>
      </c>
    </row>
    <row r="17" spans="1:8" x14ac:dyDescent="0.25">
      <c r="A17" t="s">
        <v>8</v>
      </c>
      <c r="B17" t="s">
        <v>9</v>
      </c>
      <c r="C17">
        <v>18</v>
      </c>
      <c r="D17">
        <v>2918</v>
      </c>
      <c r="E17">
        <v>3.258836030960083</v>
      </c>
      <c r="F17">
        <v>181.73696360700001</v>
      </c>
      <c r="G17">
        <v>2.182217144</v>
      </c>
      <c r="H17">
        <v>19.47108888626099</v>
      </c>
    </row>
    <row r="18" spans="1:8" x14ac:dyDescent="0.25">
      <c r="A18" t="s">
        <v>8</v>
      </c>
      <c r="B18" t="s">
        <v>10</v>
      </c>
      <c r="C18">
        <v>18</v>
      </c>
      <c r="D18">
        <v>71</v>
      </c>
      <c r="E18">
        <v>1.892730712890625</v>
      </c>
      <c r="F18">
        <v>187.02891223200001</v>
      </c>
      <c r="G18">
        <v>2.1184406450000002</v>
      </c>
      <c r="H18">
        <v>27.646983623504639</v>
      </c>
    </row>
    <row r="19" spans="1:8" x14ac:dyDescent="0.25">
      <c r="A19" t="s">
        <v>8</v>
      </c>
      <c r="B19" t="s">
        <v>11</v>
      </c>
      <c r="C19">
        <v>18</v>
      </c>
      <c r="D19">
        <v>71</v>
      </c>
      <c r="E19">
        <v>1.9371392726898189</v>
      </c>
      <c r="F19">
        <v>186.695898865</v>
      </c>
      <c r="G19">
        <v>1.8693659170000001</v>
      </c>
      <c r="H19">
        <v>29.799635410308841</v>
      </c>
    </row>
    <row r="20" spans="1:8" x14ac:dyDescent="0.25">
      <c r="A20" t="s">
        <v>8</v>
      </c>
      <c r="B20" t="s">
        <v>12</v>
      </c>
      <c r="C20">
        <v>18</v>
      </c>
      <c r="D20">
        <v>1</v>
      </c>
      <c r="E20">
        <v>1.387300968170166</v>
      </c>
      <c r="F20">
        <v>183.16603028200001</v>
      </c>
      <c r="G20">
        <v>1.8837887250000001</v>
      </c>
      <c r="H20">
        <v>10.4386875629425</v>
      </c>
    </row>
    <row r="21" spans="1:8" x14ac:dyDescent="0.25">
      <c r="A21" t="s">
        <v>8</v>
      </c>
      <c r="B21" t="s">
        <v>13</v>
      </c>
      <c r="C21">
        <v>18</v>
      </c>
      <c r="D21">
        <v>1000</v>
      </c>
      <c r="E21">
        <v>49.772644519805908</v>
      </c>
      <c r="F21">
        <v>188.96909566900001</v>
      </c>
      <c r="G21">
        <v>1.8670589230000001</v>
      </c>
      <c r="H21">
        <v>167.4226031303406</v>
      </c>
    </row>
    <row r="22" spans="1:8" x14ac:dyDescent="0.25">
      <c r="A22" t="s">
        <v>14</v>
      </c>
      <c r="B22" t="s">
        <v>9</v>
      </c>
      <c r="C22">
        <v>19</v>
      </c>
      <c r="D22">
        <v>12579</v>
      </c>
      <c r="E22">
        <v>6.2950141429901123</v>
      </c>
      <c r="F22">
        <v>359.900024417</v>
      </c>
      <c r="G22">
        <v>3.447079354</v>
      </c>
      <c r="H22">
        <v>68.332580327987671</v>
      </c>
    </row>
    <row r="23" spans="1:8" x14ac:dyDescent="0.25">
      <c r="A23" t="s">
        <v>14</v>
      </c>
      <c r="B23" t="s">
        <v>10</v>
      </c>
      <c r="C23">
        <v>19</v>
      </c>
      <c r="D23">
        <v>34</v>
      </c>
      <c r="E23">
        <v>9.8129043579101563</v>
      </c>
      <c r="F23">
        <v>360.56614874600001</v>
      </c>
      <c r="G23">
        <v>3.7226135660000002</v>
      </c>
      <c r="H23">
        <v>42.846899271011353</v>
      </c>
    </row>
    <row r="24" spans="1:8" x14ac:dyDescent="0.25">
      <c r="A24" t="s">
        <v>14</v>
      </c>
      <c r="B24" t="s">
        <v>11</v>
      </c>
      <c r="C24">
        <v>19</v>
      </c>
      <c r="D24">
        <v>34</v>
      </c>
      <c r="E24">
        <v>9.996058464050293</v>
      </c>
      <c r="F24">
        <v>362.721431166</v>
      </c>
      <c r="G24">
        <v>3.7787665970000002</v>
      </c>
      <c r="H24">
        <v>44.150554180145257</v>
      </c>
    </row>
    <row r="25" spans="1:8" x14ac:dyDescent="0.25">
      <c r="A25" t="s">
        <v>14</v>
      </c>
      <c r="B25" t="s">
        <v>12</v>
      </c>
      <c r="C25">
        <v>19</v>
      </c>
      <c r="D25">
        <v>1</v>
      </c>
      <c r="E25">
        <v>8.97548508644104</v>
      </c>
      <c r="F25">
        <v>357.18606927100001</v>
      </c>
      <c r="G25">
        <v>3.4082167010000002</v>
      </c>
      <c r="H25">
        <v>19.841279983520511</v>
      </c>
    </row>
    <row r="26" spans="1:8" x14ac:dyDescent="0.25">
      <c r="A26" t="s">
        <v>14</v>
      </c>
      <c r="B26" t="s">
        <v>13</v>
      </c>
      <c r="C26">
        <v>19</v>
      </c>
      <c r="D26">
        <v>276</v>
      </c>
      <c r="E26">
        <v>3707.0019555091858</v>
      </c>
      <c r="F26">
        <v>367.10626971200003</v>
      </c>
      <c r="G26">
        <v>3.736988137</v>
      </c>
      <c r="H26">
        <v>107.7042288780212</v>
      </c>
    </row>
    <row r="27" spans="1:8" x14ac:dyDescent="0.25">
      <c r="A27" t="s">
        <v>15</v>
      </c>
      <c r="B27" t="s">
        <v>9</v>
      </c>
      <c r="C27">
        <v>18</v>
      </c>
      <c r="D27">
        <v>0</v>
      </c>
      <c r="E27">
        <v>0.2025260925292969</v>
      </c>
      <c r="F27">
        <v>181.689970348</v>
      </c>
      <c r="G27">
        <v>1.891916514</v>
      </c>
      <c r="H27">
        <v>5.659299373626709</v>
      </c>
    </row>
    <row r="28" spans="1:8" x14ac:dyDescent="0.25">
      <c r="A28" t="s">
        <v>15</v>
      </c>
      <c r="B28" t="s">
        <v>10</v>
      </c>
      <c r="C28">
        <v>18</v>
      </c>
      <c r="D28">
        <v>198</v>
      </c>
      <c r="E28">
        <v>1.223376512527466</v>
      </c>
      <c r="F28">
        <v>185.016682793</v>
      </c>
      <c r="G28">
        <v>2.1980540190000002</v>
      </c>
      <c r="H28">
        <v>46.928187370300293</v>
      </c>
    </row>
    <row r="29" spans="1:8" x14ac:dyDescent="0.25">
      <c r="A29" t="s">
        <v>15</v>
      </c>
      <c r="B29" t="s">
        <v>11</v>
      </c>
      <c r="C29">
        <v>18</v>
      </c>
      <c r="D29">
        <v>198</v>
      </c>
      <c r="E29">
        <v>1.3146736621856689</v>
      </c>
      <c r="F29">
        <v>184.51829047300001</v>
      </c>
      <c r="G29">
        <v>1.8879207060000001</v>
      </c>
      <c r="H29">
        <v>49.630478382110603</v>
      </c>
    </row>
    <row r="30" spans="1:8" x14ac:dyDescent="0.25">
      <c r="A30" t="s">
        <v>15</v>
      </c>
      <c r="B30" t="s">
        <v>12</v>
      </c>
      <c r="C30">
        <v>18</v>
      </c>
      <c r="D30">
        <v>1</v>
      </c>
      <c r="E30">
        <v>0.56759786605834961</v>
      </c>
      <c r="F30">
        <v>183.341760728</v>
      </c>
      <c r="G30">
        <v>1.896440573</v>
      </c>
      <c r="H30">
        <v>10.25874972343445</v>
      </c>
    </row>
    <row r="31" spans="1:8" x14ac:dyDescent="0.25">
      <c r="A31" t="s">
        <v>15</v>
      </c>
      <c r="B31" t="s">
        <v>13</v>
      </c>
      <c r="C31">
        <v>18</v>
      </c>
      <c r="D31">
        <v>22</v>
      </c>
      <c r="E31">
        <v>5.5024275779724121</v>
      </c>
      <c r="F31">
        <v>188.42137129700001</v>
      </c>
      <c r="G31">
        <v>1.868828274</v>
      </c>
      <c r="H31">
        <v>31.889566421508789</v>
      </c>
    </row>
    <row r="32" spans="1:8" x14ac:dyDescent="0.25">
      <c r="A32" t="s">
        <v>8</v>
      </c>
      <c r="B32" t="s">
        <v>9</v>
      </c>
      <c r="C32">
        <v>19</v>
      </c>
      <c r="D32">
        <v>11624</v>
      </c>
      <c r="E32">
        <v>9.1275913715362549</v>
      </c>
      <c r="F32">
        <v>357.38442713500001</v>
      </c>
      <c r="G32">
        <v>3.439171032</v>
      </c>
      <c r="H32">
        <v>63.744473218917847</v>
      </c>
    </row>
    <row r="33" spans="1:8" x14ac:dyDescent="0.25">
      <c r="A33" t="s">
        <v>8</v>
      </c>
      <c r="B33" t="s">
        <v>10</v>
      </c>
      <c r="C33">
        <v>19</v>
      </c>
      <c r="D33">
        <v>273</v>
      </c>
      <c r="E33">
        <v>3.9586412906646729</v>
      </c>
      <c r="F33">
        <v>360.30250111200002</v>
      </c>
      <c r="G33">
        <v>3.4826246099999998</v>
      </c>
      <c r="H33">
        <v>73.317306280136108</v>
      </c>
    </row>
    <row r="34" spans="1:8" x14ac:dyDescent="0.25">
      <c r="A34" t="s">
        <v>8</v>
      </c>
      <c r="B34" t="s">
        <v>11</v>
      </c>
      <c r="C34">
        <v>19</v>
      </c>
      <c r="D34">
        <v>273</v>
      </c>
      <c r="E34">
        <v>4.3278417587280273</v>
      </c>
      <c r="F34">
        <v>362.80784011999998</v>
      </c>
      <c r="G34">
        <v>3.396146849</v>
      </c>
      <c r="H34">
        <v>80.461363554000854</v>
      </c>
    </row>
    <row r="35" spans="1:8" x14ac:dyDescent="0.25">
      <c r="A35" t="s">
        <v>8</v>
      </c>
      <c r="B35" t="s">
        <v>12</v>
      </c>
      <c r="C35">
        <v>19</v>
      </c>
      <c r="D35">
        <v>1</v>
      </c>
      <c r="E35">
        <v>3.0303947925567631</v>
      </c>
      <c r="F35">
        <v>354.35684043800001</v>
      </c>
      <c r="G35">
        <v>3.5967107249999999</v>
      </c>
      <c r="H35">
        <v>17.870550155639648</v>
      </c>
    </row>
    <row r="36" spans="1:8" x14ac:dyDescent="0.25">
      <c r="A36" t="s">
        <v>8</v>
      </c>
      <c r="B36" t="s">
        <v>13</v>
      </c>
      <c r="C36">
        <v>19</v>
      </c>
      <c r="D36">
        <v>1000</v>
      </c>
      <c r="E36">
        <v>1052.340576887131</v>
      </c>
      <c r="F36">
        <v>370.703395978</v>
      </c>
      <c r="G36">
        <v>3.4394040129999999</v>
      </c>
      <c r="H36">
        <v>651.26701760292053</v>
      </c>
    </row>
    <row r="37" spans="1:8" x14ac:dyDescent="0.25">
      <c r="A37" t="s">
        <v>14</v>
      </c>
      <c r="B37" t="s">
        <v>9</v>
      </c>
      <c r="C37">
        <v>19</v>
      </c>
      <c r="D37">
        <v>20367</v>
      </c>
      <c r="E37">
        <v>10.16359710693359</v>
      </c>
      <c r="F37">
        <v>357.68414837300003</v>
      </c>
      <c r="G37">
        <v>3.4010139279999998</v>
      </c>
      <c r="H37">
        <v>103.0709517002106</v>
      </c>
    </row>
    <row r="38" spans="1:8" x14ac:dyDescent="0.25">
      <c r="A38" t="s">
        <v>14</v>
      </c>
      <c r="B38" t="s">
        <v>10</v>
      </c>
      <c r="C38">
        <v>19</v>
      </c>
      <c r="D38">
        <v>63</v>
      </c>
      <c r="E38">
        <v>15.339170932769781</v>
      </c>
      <c r="F38">
        <v>361.226733126</v>
      </c>
      <c r="G38">
        <v>3.463865609</v>
      </c>
      <c r="H38">
        <v>51.531718015670783</v>
      </c>
    </row>
    <row r="39" spans="1:8" x14ac:dyDescent="0.25">
      <c r="A39" t="s">
        <v>14</v>
      </c>
      <c r="B39" t="s">
        <v>11</v>
      </c>
      <c r="C39">
        <v>19</v>
      </c>
      <c r="D39">
        <v>63</v>
      </c>
      <c r="E39">
        <v>15.397366046905519</v>
      </c>
      <c r="F39">
        <v>362.47755177200003</v>
      </c>
      <c r="G39">
        <v>3.4756610559999999</v>
      </c>
      <c r="H39">
        <v>55.438335657119751</v>
      </c>
    </row>
    <row r="40" spans="1:8" x14ac:dyDescent="0.25">
      <c r="A40" t="s">
        <v>14</v>
      </c>
      <c r="B40" t="s">
        <v>12</v>
      </c>
      <c r="C40">
        <v>19</v>
      </c>
      <c r="D40">
        <v>1</v>
      </c>
      <c r="E40">
        <v>14.45025849342346</v>
      </c>
      <c r="F40">
        <v>357.40928843900002</v>
      </c>
      <c r="G40">
        <v>3.4397009820000002</v>
      </c>
      <c r="H40">
        <v>19.46701288223267</v>
      </c>
    </row>
    <row r="41" spans="1:8" x14ac:dyDescent="0.25">
      <c r="A41" t="s">
        <v>14</v>
      </c>
      <c r="B41" t="s">
        <v>13</v>
      </c>
      <c r="C41">
        <v>19</v>
      </c>
      <c r="D41">
        <v>360</v>
      </c>
      <c r="E41">
        <v>8348.8128654956818</v>
      </c>
      <c r="F41">
        <v>366.63999778900001</v>
      </c>
      <c r="G41">
        <v>3.4181042910000001</v>
      </c>
      <c r="H41">
        <v>126.7946817874908</v>
      </c>
    </row>
    <row r="42" spans="1:8" x14ac:dyDescent="0.25">
      <c r="A42" t="s">
        <v>15</v>
      </c>
      <c r="B42" t="s">
        <v>9</v>
      </c>
      <c r="C42">
        <v>19</v>
      </c>
      <c r="D42">
        <v>1</v>
      </c>
      <c r="E42">
        <v>0.21377849578857419</v>
      </c>
      <c r="F42">
        <v>354.56148209600002</v>
      </c>
      <c r="G42">
        <v>3.6858097079999999</v>
      </c>
      <c r="H42">
        <v>11.382223129272459</v>
      </c>
    </row>
    <row r="43" spans="1:8" x14ac:dyDescent="0.25">
      <c r="A43" t="s">
        <v>15</v>
      </c>
      <c r="B43" t="s">
        <v>10</v>
      </c>
      <c r="C43">
        <v>19</v>
      </c>
      <c r="D43">
        <v>840</v>
      </c>
      <c r="E43">
        <v>3.6479754447937012</v>
      </c>
      <c r="F43">
        <v>361.18738205800003</v>
      </c>
      <c r="G43">
        <v>3.432137607</v>
      </c>
      <c r="H43">
        <v>192.96950626373291</v>
      </c>
    </row>
    <row r="44" spans="1:8" x14ac:dyDescent="0.25">
      <c r="A44" t="s">
        <v>15</v>
      </c>
      <c r="B44" t="s">
        <v>11</v>
      </c>
      <c r="C44">
        <v>19</v>
      </c>
      <c r="D44">
        <v>840</v>
      </c>
      <c r="E44">
        <v>3.844499826431274</v>
      </c>
      <c r="F44">
        <v>363.39566082300001</v>
      </c>
      <c r="G44">
        <v>3.504546188</v>
      </c>
      <c r="H44">
        <v>195.19670796394351</v>
      </c>
    </row>
    <row r="45" spans="1:8" x14ac:dyDescent="0.25">
      <c r="A45" t="s">
        <v>15</v>
      </c>
      <c r="B45" t="s">
        <v>12</v>
      </c>
      <c r="C45">
        <v>19</v>
      </c>
      <c r="D45">
        <v>1</v>
      </c>
      <c r="E45">
        <v>1.259813547134399</v>
      </c>
      <c r="F45">
        <v>355.17993994400001</v>
      </c>
      <c r="G45">
        <v>3.4692577230000001</v>
      </c>
      <c r="H45">
        <v>16.579630851745609</v>
      </c>
    </row>
    <row r="46" spans="1:8" x14ac:dyDescent="0.25">
      <c r="A46" t="s">
        <v>15</v>
      </c>
      <c r="B46" t="s">
        <v>13</v>
      </c>
      <c r="C46">
        <v>19</v>
      </c>
      <c r="D46">
        <v>298</v>
      </c>
      <c r="E46">
        <v>131.1703984737396</v>
      </c>
      <c r="F46">
        <v>364.64659555999998</v>
      </c>
      <c r="G46">
        <v>3.4535034960000002</v>
      </c>
      <c r="H46">
        <v>101.16583561897281</v>
      </c>
    </row>
    <row r="47" spans="1:8" x14ac:dyDescent="0.25">
      <c r="A47" t="s">
        <v>16</v>
      </c>
      <c r="B47" t="s">
        <v>9</v>
      </c>
      <c r="C47">
        <v>16</v>
      </c>
      <c r="D47">
        <v>1</v>
      </c>
      <c r="E47">
        <v>0.33942151069641108</v>
      </c>
      <c r="F47">
        <v>54.050897282999998</v>
      </c>
      <c r="G47">
        <v>613.48353599999996</v>
      </c>
      <c r="H47">
        <v>5.3235645294189453</v>
      </c>
    </row>
    <row r="48" spans="1:8" x14ac:dyDescent="0.25">
      <c r="A48" t="s">
        <v>16</v>
      </c>
      <c r="B48" t="s">
        <v>17</v>
      </c>
      <c r="C48">
        <v>16</v>
      </c>
      <c r="D48">
        <v>10</v>
      </c>
      <c r="E48">
        <v>1.552566289901733</v>
      </c>
      <c r="F48">
        <v>55.743202523000001</v>
      </c>
      <c r="G48">
        <v>624.04377599999998</v>
      </c>
      <c r="H48">
        <v>26.417680740356449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85B6-708C-4265-84DE-2A24D7DEAE49}">
  <dimension ref="A1:H16"/>
  <sheetViews>
    <sheetView workbookViewId="0">
      <selection activeCell="C22" sqref="C22"/>
    </sheetView>
  </sheetViews>
  <sheetFormatPr defaultRowHeight="15" x14ac:dyDescent="0.25"/>
  <cols>
    <col min="2" max="2" width="15.5703125" bestFit="1" customWidth="1"/>
  </cols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v>8.0802514553070068</v>
      </c>
    </row>
    <row r="3" spans="1:8" x14ac:dyDescent="0.25">
      <c r="A3" t="s">
        <v>8</v>
      </c>
      <c r="B3" t="s">
        <v>10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v>14.14151310920715</v>
      </c>
    </row>
    <row r="4" spans="1:8" x14ac:dyDescent="0.25">
      <c r="A4" t="s">
        <v>8</v>
      </c>
      <c r="B4" t="s">
        <v>11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v>15.14360785484314</v>
      </c>
    </row>
    <row r="5" spans="1:8" x14ac:dyDescent="0.25">
      <c r="A5" t="s">
        <v>8</v>
      </c>
      <c r="B5" t="s">
        <v>12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v>6.4740762710571289</v>
      </c>
    </row>
    <row r="6" spans="1:8" x14ac:dyDescent="0.25">
      <c r="A6" t="s">
        <v>8</v>
      </c>
      <c r="B6" t="s">
        <v>13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v>52.294199705123901</v>
      </c>
    </row>
    <row r="7" spans="1:8" x14ac:dyDescent="0.25">
      <c r="A7" t="s">
        <v>14</v>
      </c>
      <c r="B7" t="s">
        <v>9</v>
      </c>
      <c r="C7">
        <v>18</v>
      </c>
      <c r="D7">
        <v>7609</v>
      </c>
      <c r="E7">
        <v>3.9959721565246582</v>
      </c>
      <c r="F7">
        <v>194.62074728799999</v>
      </c>
      <c r="G7">
        <v>2.1687286490000002</v>
      </c>
      <c r="H7">
        <v>40.761738777160637</v>
      </c>
    </row>
    <row r="8" spans="1:8" x14ac:dyDescent="0.25">
      <c r="A8" t="s">
        <v>14</v>
      </c>
      <c r="B8" t="s">
        <v>10</v>
      </c>
      <c r="C8">
        <v>18</v>
      </c>
      <c r="D8">
        <v>17</v>
      </c>
      <c r="E8">
        <v>6.1681852340698242</v>
      </c>
      <c r="F8">
        <v>197.354351751</v>
      </c>
      <c r="G8">
        <v>2.1298930619999998</v>
      </c>
      <c r="H8">
        <v>24.485044002532959</v>
      </c>
    </row>
    <row r="9" spans="1:8" x14ac:dyDescent="0.25">
      <c r="A9" t="s">
        <v>14</v>
      </c>
      <c r="B9" t="s">
        <v>11</v>
      </c>
      <c r="C9">
        <v>18</v>
      </c>
      <c r="D9">
        <v>17</v>
      </c>
      <c r="E9">
        <v>6.1492478847503662</v>
      </c>
      <c r="F9">
        <v>196.83616414100001</v>
      </c>
      <c r="G9">
        <v>2.1397414189999999</v>
      </c>
      <c r="H9">
        <v>26.01601600646973</v>
      </c>
    </row>
    <row r="10" spans="1:8" x14ac:dyDescent="0.25">
      <c r="A10" t="s">
        <v>14</v>
      </c>
      <c r="B10" t="s">
        <v>12</v>
      </c>
      <c r="C10">
        <v>18</v>
      </c>
      <c r="D10">
        <v>1</v>
      </c>
      <c r="E10">
        <v>5.6897425651550293</v>
      </c>
      <c r="F10">
        <v>195.99264544499999</v>
      </c>
      <c r="G10">
        <v>2.1637875320000002</v>
      </c>
      <c r="H10">
        <v>11.070473194122309</v>
      </c>
    </row>
    <row r="11" spans="1:8" x14ac:dyDescent="0.25">
      <c r="A11" t="s">
        <v>14</v>
      </c>
      <c r="B11" t="s">
        <v>13</v>
      </c>
      <c r="C11">
        <v>18</v>
      </c>
      <c r="D11">
        <v>187</v>
      </c>
      <c r="E11">
        <v>1555.46484375</v>
      </c>
      <c r="F11">
        <v>812.41286106200005</v>
      </c>
      <c r="G11">
        <v>1.873611854</v>
      </c>
      <c r="H11">
        <v>69.02873969078064</v>
      </c>
    </row>
    <row r="12" spans="1:8" x14ac:dyDescent="0.25">
      <c r="A12" t="s">
        <v>15</v>
      </c>
      <c r="B12" t="s">
        <v>9</v>
      </c>
      <c r="C12">
        <v>17</v>
      </c>
      <c r="D12">
        <v>0</v>
      </c>
      <c r="E12">
        <v>0.20319342613220209</v>
      </c>
      <c r="F12">
        <v>94.404121171</v>
      </c>
      <c r="G12">
        <v>1.220279739</v>
      </c>
      <c r="H12">
        <v>4.1363911628723136</v>
      </c>
    </row>
    <row r="13" spans="1:8" x14ac:dyDescent="0.25">
      <c r="A13" t="s">
        <v>15</v>
      </c>
      <c r="B13" t="s">
        <v>10</v>
      </c>
      <c r="C13">
        <v>17</v>
      </c>
      <c r="D13">
        <v>54</v>
      </c>
      <c r="E13">
        <v>0.64592432975769043</v>
      </c>
      <c r="F13">
        <v>96.220910286999995</v>
      </c>
      <c r="G13">
        <v>1.2218654710000001</v>
      </c>
      <c r="H13">
        <v>18.323354005813599</v>
      </c>
    </row>
    <row r="14" spans="1:8" x14ac:dyDescent="0.25">
      <c r="A14" t="s">
        <v>15</v>
      </c>
      <c r="B14" t="s">
        <v>11</v>
      </c>
      <c r="C14">
        <v>17</v>
      </c>
      <c r="D14">
        <v>54</v>
      </c>
      <c r="E14">
        <v>0.65021800994873047</v>
      </c>
      <c r="F14">
        <v>96.062343189000003</v>
      </c>
      <c r="G14">
        <v>1.047254761</v>
      </c>
      <c r="H14">
        <v>19.837069511413571</v>
      </c>
    </row>
    <row r="15" spans="1:8" x14ac:dyDescent="0.25">
      <c r="A15" t="s">
        <v>15</v>
      </c>
      <c r="B15" t="s">
        <v>12</v>
      </c>
      <c r="C15">
        <v>17</v>
      </c>
      <c r="D15">
        <v>1</v>
      </c>
      <c r="E15">
        <v>0.35034394264221191</v>
      </c>
      <c r="F15">
        <v>93.495042781999999</v>
      </c>
      <c r="G15">
        <v>1.046061192</v>
      </c>
      <c r="H15">
        <v>5.1880824565887451</v>
      </c>
    </row>
    <row r="16" spans="1:8" x14ac:dyDescent="0.25">
      <c r="A16" t="s">
        <v>15</v>
      </c>
      <c r="B16" t="s">
        <v>13</v>
      </c>
      <c r="C16">
        <v>17</v>
      </c>
      <c r="D16">
        <v>4</v>
      </c>
      <c r="E16">
        <v>1.243052005767822</v>
      </c>
      <c r="F16">
        <v>98.754815922999995</v>
      </c>
      <c r="G16">
        <v>1.050751478</v>
      </c>
      <c r="H16">
        <v>18.046691417694088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02BC-B151-4B90-9684-938FE2D9E667}">
  <dimension ref="A1:H16"/>
  <sheetViews>
    <sheetView workbookViewId="0">
      <selection activeCell="B12" sqref="B12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18</v>
      </c>
      <c r="D2">
        <v>2918</v>
      </c>
      <c r="E2">
        <v>3.258836030960083</v>
      </c>
      <c r="F2">
        <v>181.73696360700001</v>
      </c>
      <c r="G2">
        <v>2.182217144</v>
      </c>
      <c r="H2">
        <v>19.47108888626099</v>
      </c>
    </row>
    <row r="3" spans="1:8" x14ac:dyDescent="0.25">
      <c r="A3" t="s">
        <v>8</v>
      </c>
      <c r="B3" t="s">
        <v>10</v>
      </c>
      <c r="C3">
        <v>18</v>
      </c>
      <c r="D3">
        <v>71</v>
      </c>
      <c r="E3">
        <v>1.892730712890625</v>
      </c>
      <c r="F3">
        <v>187.02891223200001</v>
      </c>
      <c r="G3">
        <v>2.1184406450000002</v>
      </c>
      <c r="H3">
        <v>27.646983623504639</v>
      </c>
    </row>
    <row r="4" spans="1:8" x14ac:dyDescent="0.25">
      <c r="A4" t="s">
        <v>8</v>
      </c>
      <c r="B4" t="s">
        <v>11</v>
      </c>
      <c r="C4">
        <v>18</v>
      </c>
      <c r="D4">
        <v>71</v>
      </c>
      <c r="E4">
        <v>1.9371392726898189</v>
      </c>
      <c r="F4">
        <v>186.695898865</v>
      </c>
      <c r="G4">
        <v>1.8693659170000001</v>
      </c>
      <c r="H4">
        <v>29.799635410308841</v>
      </c>
    </row>
    <row r="5" spans="1:8" x14ac:dyDescent="0.25">
      <c r="A5" t="s">
        <v>8</v>
      </c>
      <c r="B5" t="s">
        <v>12</v>
      </c>
      <c r="C5">
        <v>18</v>
      </c>
      <c r="D5">
        <v>1</v>
      </c>
      <c r="E5">
        <v>1.387300968170166</v>
      </c>
      <c r="F5">
        <v>183.16603028200001</v>
      </c>
      <c r="G5">
        <v>1.8837887250000001</v>
      </c>
      <c r="H5">
        <v>10.4386875629425</v>
      </c>
    </row>
    <row r="6" spans="1:8" x14ac:dyDescent="0.25">
      <c r="A6" t="s">
        <v>8</v>
      </c>
      <c r="B6" t="s">
        <v>13</v>
      </c>
      <c r="C6">
        <v>18</v>
      </c>
      <c r="D6">
        <v>1000</v>
      </c>
      <c r="E6">
        <v>49.772644519805908</v>
      </c>
      <c r="F6">
        <v>188.96909566900001</v>
      </c>
      <c r="G6">
        <v>1.8670589230000001</v>
      </c>
      <c r="H6">
        <v>167.4226031303406</v>
      </c>
    </row>
    <row r="7" spans="1:8" x14ac:dyDescent="0.25">
      <c r="A7" t="s">
        <v>14</v>
      </c>
      <c r="B7" t="s">
        <v>9</v>
      </c>
      <c r="C7">
        <v>19</v>
      </c>
      <c r="D7">
        <v>12579</v>
      </c>
      <c r="E7">
        <v>6.2950141429901123</v>
      </c>
      <c r="F7">
        <v>359.900024417</v>
      </c>
      <c r="G7">
        <v>3.447079354</v>
      </c>
      <c r="H7">
        <v>68.332580327987671</v>
      </c>
    </row>
    <row r="8" spans="1:8" x14ac:dyDescent="0.25">
      <c r="A8" t="s">
        <v>14</v>
      </c>
      <c r="B8" t="s">
        <v>10</v>
      </c>
      <c r="C8">
        <v>19</v>
      </c>
      <c r="D8">
        <v>34</v>
      </c>
      <c r="E8">
        <v>9.8129043579101563</v>
      </c>
      <c r="F8">
        <v>360.56614874600001</v>
      </c>
      <c r="G8">
        <v>3.7226135660000002</v>
      </c>
      <c r="H8">
        <v>42.846899271011353</v>
      </c>
    </row>
    <row r="9" spans="1:8" x14ac:dyDescent="0.25">
      <c r="A9" t="s">
        <v>14</v>
      </c>
      <c r="B9" t="s">
        <v>11</v>
      </c>
      <c r="C9">
        <v>19</v>
      </c>
      <c r="D9">
        <v>34</v>
      </c>
      <c r="E9">
        <v>9.996058464050293</v>
      </c>
      <c r="F9">
        <v>362.721431166</v>
      </c>
      <c r="G9">
        <v>3.7787665970000002</v>
      </c>
      <c r="H9">
        <v>44.150554180145257</v>
      </c>
    </row>
    <row r="10" spans="1:8" x14ac:dyDescent="0.25">
      <c r="A10" t="s">
        <v>14</v>
      </c>
      <c r="B10" t="s">
        <v>12</v>
      </c>
      <c r="C10">
        <v>19</v>
      </c>
      <c r="D10">
        <v>1</v>
      </c>
      <c r="E10">
        <v>8.97548508644104</v>
      </c>
      <c r="F10">
        <v>357.18606927100001</v>
      </c>
      <c r="G10">
        <v>3.4082167010000002</v>
      </c>
      <c r="H10">
        <v>19.841279983520511</v>
      </c>
    </row>
    <row r="11" spans="1:8" x14ac:dyDescent="0.25">
      <c r="A11" t="s">
        <v>14</v>
      </c>
      <c r="B11" t="s">
        <v>13</v>
      </c>
      <c r="C11">
        <v>19</v>
      </c>
      <c r="D11">
        <v>276</v>
      </c>
      <c r="E11">
        <v>3707.0019555091858</v>
      </c>
      <c r="F11">
        <v>367.10626971200003</v>
      </c>
      <c r="G11">
        <v>3.736988137</v>
      </c>
      <c r="H11">
        <v>107.7042288780212</v>
      </c>
    </row>
    <row r="12" spans="1:8" x14ac:dyDescent="0.25">
      <c r="A12" t="s">
        <v>15</v>
      </c>
      <c r="B12" t="s">
        <v>9</v>
      </c>
      <c r="C12">
        <v>18</v>
      </c>
      <c r="D12">
        <v>0</v>
      </c>
      <c r="E12">
        <v>0.2025260925292969</v>
      </c>
      <c r="F12">
        <v>181.689970348</v>
      </c>
      <c r="G12">
        <v>1.891916514</v>
      </c>
      <c r="H12">
        <v>5.659299373626709</v>
      </c>
    </row>
    <row r="13" spans="1:8" x14ac:dyDescent="0.25">
      <c r="A13" t="s">
        <v>15</v>
      </c>
      <c r="B13" t="s">
        <v>10</v>
      </c>
      <c r="C13">
        <v>18</v>
      </c>
      <c r="D13">
        <v>198</v>
      </c>
      <c r="E13">
        <v>1.223376512527466</v>
      </c>
      <c r="F13">
        <v>185.016682793</v>
      </c>
      <c r="G13">
        <v>2.1980540190000002</v>
      </c>
      <c r="H13">
        <v>46.928187370300293</v>
      </c>
    </row>
    <row r="14" spans="1:8" x14ac:dyDescent="0.25">
      <c r="A14" t="s">
        <v>15</v>
      </c>
      <c r="B14" t="s">
        <v>11</v>
      </c>
      <c r="C14">
        <v>18</v>
      </c>
      <c r="D14">
        <v>198</v>
      </c>
      <c r="E14">
        <v>1.3146736621856689</v>
      </c>
      <c r="F14">
        <v>184.51829047300001</v>
      </c>
      <c r="G14">
        <v>1.8879207060000001</v>
      </c>
      <c r="H14">
        <v>49.630478382110603</v>
      </c>
    </row>
    <row r="15" spans="1:8" x14ac:dyDescent="0.25">
      <c r="A15" t="s">
        <v>15</v>
      </c>
      <c r="B15" t="s">
        <v>12</v>
      </c>
      <c r="C15">
        <v>18</v>
      </c>
      <c r="D15">
        <v>1</v>
      </c>
      <c r="E15">
        <v>0.56759786605834961</v>
      </c>
      <c r="F15">
        <v>183.341760728</v>
      </c>
      <c r="G15">
        <v>1.896440573</v>
      </c>
      <c r="H15">
        <v>10.25874972343445</v>
      </c>
    </row>
    <row r="16" spans="1:8" x14ac:dyDescent="0.25">
      <c r="A16" t="s">
        <v>15</v>
      </c>
      <c r="B16" t="s">
        <v>13</v>
      </c>
      <c r="C16">
        <v>18</v>
      </c>
      <c r="D16">
        <v>22</v>
      </c>
      <c r="E16">
        <v>5.5024275779724121</v>
      </c>
      <c r="F16">
        <v>188.42137129700001</v>
      </c>
      <c r="G16">
        <v>1.868828274</v>
      </c>
      <c r="H16">
        <v>31.889566421508789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D89-B2D2-4D69-9EBA-3271958ABB55}">
  <dimension ref="A1:H16"/>
  <sheetViews>
    <sheetView workbookViewId="0">
      <selection activeCell="B12" sqref="B12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19</v>
      </c>
      <c r="D2">
        <v>11624</v>
      </c>
      <c r="E2">
        <v>9.1275913715362549</v>
      </c>
      <c r="F2">
        <v>357.38442713500001</v>
      </c>
      <c r="G2">
        <v>3.439171032</v>
      </c>
      <c r="H2">
        <v>63.744473218917847</v>
      </c>
    </row>
    <row r="3" spans="1:8" x14ac:dyDescent="0.25">
      <c r="A3" t="s">
        <v>8</v>
      </c>
      <c r="B3" t="s">
        <v>10</v>
      </c>
      <c r="C3">
        <v>19</v>
      </c>
      <c r="D3">
        <v>273</v>
      </c>
      <c r="E3">
        <v>3.9586412906646729</v>
      </c>
      <c r="F3">
        <v>360.30250111200002</v>
      </c>
      <c r="G3">
        <v>3.4826246099999998</v>
      </c>
      <c r="H3">
        <v>73.317306280136108</v>
      </c>
    </row>
    <row r="4" spans="1:8" x14ac:dyDescent="0.25">
      <c r="A4" t="s">
        <v>8</v>
      </c>
      <c r="B4" t="s">
        <v>11</v>
      </c>
      <c r="C4">
        <v>19</v>
      </c>
      <c r="D4">
        <v>273</v>
      </c>
      <c r="E4">
        <v>4.3278417587280273</v>
      </c>
      <c r="F4">
        <v>362.80784011999998</v>
      </c>
      <c r="G4">
        <v>3.396146849</v>
      </c>
      <c r="H4">
        <v>80.461363554000854</v>
      </c>
    </row>
    <row r="5" spans="1:8" x14ac:dyDescent="0.25">
      <c r="A5" t="s">
        <v>8</v>
      </c>
      <c r="B5" t="s">
        <v>12</v>
      </c>
      <c r="C5">
        <v>19</v>
      </c>
      <c r="D5">
        <v>1</v>
      </c>
      <c r="E5">
        <v>3.0303947925567631</v>
      </c>
      <c r="F5">
        <v>354.35684043800001</v>
      </c>
      <c r="G5">
        <v>3.5967107249999999</v>
      </c>
      <c r="H5">
        <v>17.870550155639648</v>
      </c>
    </row>
    <row r="6" spans="1:8" x14ac:dyDescent="0.25">
      <c r="A6" t="s">
        <v>8</v>
      </c>
      <c r="B6" t="s">
        <v>13</v>
      </c>
      <c r="C6">
        <v>19</v>
      </c>
      <c r="D6">
        <v>1000</v>
      </c>
      <c r="E6">
        <v>1052.340576887131</v>
      </c>
      <c r="F6">
        <v>370.703395978</v>
      </c>
      <c r="G6">
        <v>3.4394040129999999</v>
      </c>
      <c r="H6">
        <v>651.26701760292053</v>
      </c>
    </row>
    <row r="7" spans="1:8" x14ac:dyDescent="0.25">
      <c r="A7" t="s">
        <v>14</v>
      </c>
      <c r="B7" t="s">
        <v>9</v>
      </c>
      <c r="C7">
        <v>19</v>
      </c>
      <c r="D7">
        <v>20367</v>
      </c>
      <c r="E7">
        <v>10.16359710693359</v>
      </c>
      <c r="F7">
        <v>357.68414837300003</v>
      </c>
      <c r="G7">
        <v>3.4010139279999998</v>
      </c>
      <c r="H7">
        <v>103.0709517002106</v>
      </c>
    </row>
    <row r="8" spans="1:8" x14ac:dyDescent="0.25">
      <c r="A8" t="s">
        <v>14</v>
      </c>
      <c r="B8" t="s">
        <v>10</v>
      </c>
      <c r="C8">
        <v>19</v>
      </c>
      <c r="D8">
        <v>63</v>
      </c>
      <c r="E8">
        <v>15.339170932769781</v>
      </c>
      <c r="F8">
        <v>361.226733126</v>
      </c>
      <c r="G8">
        <v>3.463865609</v>
      </c>
      <c r="H8">
        <v>51.531718015670783</v>
      </c>
    </row>
    <row r="9" spans="1:8" x14ac:dyDescent="0.25">
      <c r="A9" t="s">
        <v>14</v>
      </c>
      <c r="B9" t="s">
        <v>11</v>
      </c>
      <c r="C9">
        <v>19</v>
      </c>
      <c r="D9">
        <v>63</v>
      </c>
      <c r="E9">
        <v>15.397366046905519</v>
      </c>
      <c r="F9">
        <v>362.47755177200003</v>
      </c>
      <c r="G9">
        <v>3.4756610559999999</v>
      </c>
      <c r="H9">
        <v>55.438335657119751</v>
      </c>
    </row>
    <row r="10" spans="1:8" x14ac:dyDescent="0.25">
      <c r="A10" t="s">
        <v>14</v>
      </c>
      <c r="B10" t="s">
        <v>12</v>
      </c>
      <c r="C10">
        <v>19</v>
      </c>
      <c r="D10">
        <v>1</v>
      </c>
      <c r="E10">
        <v>14.45025849342346</v>
      </c>
      <c r="F10">
        <v>357.40928843900002</v>
      </c>
      <c r="G10">
        <v>3.4397009820000002</v>
      </c>
      <c r="H10">
        <v>19.46701288223267</v>
      </c>
    </row>
    <row r="11" spans="1:8" x14ac:dyDescent="0.25">
      <c r="A11" t="s">
        <v>14</v>
      </c>
      <c r="B11" t="s">
        <v>13</v>
      </c>
      <c r="C11">
        <v>19</v>
      </c>
      <c r="D11">
        <v>360</v>
      </c>
      <c r="E11">
        <v>8348.8128654956818</v>
      </c>
      <c r="F11">
        <v>366.63999778900001</v>
      </c>
      <c r="G11">
        <v>3.4181042910000001</v>
      </c>
      <c r="H11">
        <v>126.7946817874908</v>
      </c>
    </row>
    <row r="12" spans="1:8" x14ac:dyDescent="0.25">
      <c r="A12" t="s">
        <v>15</v>
      </c>
      <c r="B12" t="s">
        <v>9</v>
      </c>
      <c r="C12">
        <v>19</v>
      </c>
      <c r="D12">
        <v>1</v>
      </c>
      <c r="E12">
        <v>0.21377849578857419</v>
      </c>
      <c r="F12">
        <v>354.56148209600002</v>
      </c>
      <c r="G12">
        <v>3.6858097079999999</v>
      </c>
      <c r="H12">
        <v>11.382223129272459</v>
      </c>
    </row>
    <row r="13" spans="1:8" x14ac:dyDescent="0.25">
      <c r="A13" t="s">
        <v>15</v>
      </c>
      <c r="B13" t="s">
        <v>10</v>
      </c>
      <c r="C13">
        <v>19</v>
      </c>
      <c r="D13">
        <v>840</v>
      </c>
      <c r="E13">
        <v>3.6479754447937012</v>
      </c>
      <c r="F13">
        <v>361.18738205800003</v>
      </c>
      <c r="G13">
        <v>3.432137607</v>
      </c>
      <c r="H13">
        <v>192.96950626373291</v>
      </c>
    </row>
    <row r="14" spans="1:8" x14ac:dyDescent="0.25">
      <c r="A14" t="s">
        <v>15</v>
      </c>
      <c r="B14" t="s">
        <v>11</v>
      </c>
      <c r="C14">
        <v>19</v>
      </c>
      <c r="D14">
        <v>840</v>
      </c>
      <c r="E14">
        <v>3.844499826431274</v>
      </c>
      <c r="F14">
        <v>363.39566082300001</v>
      </c>
      <c r="G14">
        <v>3.504546188</v>
      </c>
      <c r="H14">
        <v>195.19670796394351</v>
      </c>
    </row>
    <row r="15" spans="1:8" x14ac:dyDescent="0.25">
      <c r="A15" t="s">
        <v>15</v>
      </c>
      <c r="B15" t="s">
        <v>12</v>
      </c>
      <c r="C15">
        <v>19</v>
      </c>
      <c r="D15">
        <v>1</v>
      </c>
      <c r="E15">
        <v>1.259813547134399</v>
      </c>
      <c r="F15">
        <v>355.17993994400001</v>
      </c>
      <c r="G15">
        <v>3.4692577230000001</v>
      </c>
      <c r="H15">
        <v>16.579630851745609</v>
      </c>
    </row>
    <row r="16" spans="1:8" x14ac:dyDescent="0.25">
      <c r="A16" t="s">
        <v>15</v>
      </c>
      <c r="B16" t="s">
        <v>13</v>
      </c>
      <c r="C16">
        <v>19</v>
      </c>
      <c r="D16">
        <v>298</v>
      </c>
      <c r="E16">
        <v>131.1703984737396</v>
      </c>
      <c r="F16">
        <v>364.64659555999998</v>
      </c>
      <c r="G16">
        <v>3.4535034960000002</v>
      </c>
      <c r="H16">
        <v>101.16583561897281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22CC-A02D-4C62-851D-6FB9CB59C264}">
  <dimension ref="A1:K16"/>
  <sheetViews>
    <sheetView workbookViewId="0">
      <selection activeCell="B15" sqref="B15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13.28515625" bestFit="1" customWidth="1"/>
    <col min="10" max="10" width="9.85546875" bestFit="1" customWidth="1"/>
    <col min="11" max="11" width="12.5703125" bestFit="1" customWidth="1"/>
  </cols>
  <sheetData>
    <row r="1" spans="1:11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39</v>
      </c>
      <c r="H1" s="1" t="s">
        <v>36</v>
      </c>
      <c r="I1" s="3" t="s">
        <v>29</v>
      </c>
      <c r="J1" s="3" t="s">
        <v>37</v>
      </c>
      <c r="K1" s="3" t="s">
        <v>38</v>
      </c>
    </row>
    <row r="2" spans="1:11" x14ac:dyDescent="0.25">
      <c r="A2" s="2">
        <v>25</v>
      </c>
      <c r="B2" t="s">
        <v>25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v>8.0802514553070068</v>
      </c>
      <c r="I2">
        <f>K2/1024</f>
        <v>2.318623046875</v>
      </c>
      <c r="J2">
        <v>6.9</v>
      </c>
      <c r="K2">
        <v>2374.27</v>
      </c>
    </row>
    <row r="3" spans="1:11" x14ac:dyDescent="0.25">
      <c r="A3" s="2">
        <v>25</v>
      </c>
      <c r="B3" t="s">
        <v>26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v>14.14151310920715</v>
      </c>
      <c r="I3">
        <f t="shared" ref="I3:I16" si="0">K3/1024</f>
        <v>2.4676660156249999</v>
      </c>
      <c r="J3">
        <v>6.9</v>
      </c>
      <c r="K3">
        <v>2526.89</v>
      </c>
    </row>
    <row r="4" spans="1:11" x14ac:dyDescent="0.25">
      <c r="A4" s="2">
        <v>25</v>
      </c>
      <c r="B4" t="s">
        <v>27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v>15.14360785484314</v>
      </c>
      <c r="I4">
        <f t="shared" si="0"/>
        <v>2.5052441406249999</v>
      </c>
      <c r="J4">
        <v>6.8</v>
      </c>
      <c r="K4">
        <v>2565.37</v>
      </c>
    </row>
    <row r="5" spans="1:11" x14ac:dyDescent="0.25">
      <c r="A5" s="2">
        <v>25</v>
      </c>
      <c r="B5" t="s">
        <v>24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v>6.4740762710571289</v>
      </c>
      <c r="I5">
        <f t="shared" si="0"/>
        <v>2.3704199218749999</v>
      </c>
      <c r="J5">
        <v>6.9</v>
      </c>
      <c r="K5">
        <v>2427.31</v>
      </c>
    </row>
    <row r="6" spans="1:11" x14ac:dyDescent="0.25">
      <c r="A6" s="2">
        <v>25</v>
      </c>
      <c r="B6" t="s">
        <v>28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v>52.294199705123901</v>
      </c>
      <c r="I6">
        <f t="shared" si="0"/>
        <v>2.6463378906249999</v>
      </c>
      <c r="J6">
        <v>7</v>
      </c>
      <c r="K6">
        <v>2709.85</v>
      </c>
    </row>
    <row r="7" spans="1:11" x14ac:dyDescent="0.25">
      <c r="A7" s="2">
        <v>50</v>
      </c>
      <c r="B7" t="s">
        <v>25</v>
      </c>
      <c r="C7">
        <v>18</v>
      </c>
      <c r="D7">
        <v>2918</v>
      </c>
      <c r="E7">
        <v>3.258836030960083</v>
      </c>
      <c r="F7">
        <v>181.73696360700001</v>
      </c>
      <c r="G7">
        <v>2.182217144</v>
      </c>
      <c r="H7">
        <v>19.47108888626099</v>
      </c>
      <c r="I7">
        <f t="shared" si="0"/>
        <v>4.9627734375000001</v>
      </c>
      <c r="J7">
        <v>15</v>
      </c>
      <c r="K7">
        <v>5081.88</v>
      </c>
    </row>
    <row r="8" spans="1:11" x14ac:dyDescent="0.25">
      <c r="A8" s="2">
        <v>50</v>
      </c>
      <c r="B8" t="s">
        <v>26</v>
      </c>
      <c r="C8">
        <v>18</v>
      </c>
      <c r="D8">
        <v>71</v>
      </c>
      <c r="E8">
        <v>1.892730712890625</v>
      </c>
      <c r="F8">
        <v>187.02891223200001</v>
      </c>
      <c r="G8">
        <v>2.1184406450000002</v>
      </c>
      <c r="H8">
        <v>27.646983623504639</v>
      </c>
      <c r="I8">
        <f t="shared" si="0"/>
        <v>5.17240234375</v>
      </c>
      <c r="J8">
        <v>15</v>
      </c>
      <c r="K8">
        <v>5296.54</v>
      </c>
    </row>
    <row r="9" spans="1:11" x14ac:dyDescent="0.25">
      <c r="A9" s="2">
        <v>50</v>
      </c>
      <c r="B9" t="s">
        <v>27</v>
      </c>
      <c r="C9">
        <v>18</v>
      </c>
      <c r="D9">
        <v>71</v>
      </c>
      <c r="E9">
        <v>1.9371392726898189</v>
      </c>
      <c r="F9">
        <v>186.695898865</v>
      </c>
      <c r="G9">
        <v>1.8693659170000001</v>
      </c>
      <c r="H9">
        <v>29.799635410308841</v>
      </c>
      <c r="I9">
        <f t="shared" si="0"/>
        <v>5.2354003906250002</v>
      </c>
      <c r="J9">
        <v>15</v>
      </c>
      <c r="K9">
        <v>5361.05</v>
      </c>
    </row>
    <row r="10" spans="1:11" x14ac:dyDescent="0.25">
      <c r="A10" s="2">
        <v>50</v>
      </c>
      <c r="B10" t="s">
        <v>24</v>
      </c>
      <c r="C10">
        <v>18</v>
      </c>
      <c r="D10">
        <v>1</v>
      </c>
      <c r="E10">
        <v>1.387300968170166</v>
      </c>
      <c r="F10">
        <v>183.16603028200001</v>
      </c>
      <c r="G10">
        <v>1.8837887250000001</v>
      </c>
      <c r="H10">
        <v>10.4386875629425</v>
      </c>
      <c r="I10">
        <f t="shared" si="0"/>
        <v>5.0866894531250004</v>
      </c>
      <c r="J10">
        <v>14</v>
      </c>
      <c r="K10">
        <v>5208.7700000000004</v>
      </c>
    </row>
    <row r="11" spans="1:11" x14ac:dyDescent="0.25">
      <c r="A11" s="2">
        <v>50</v>
      </c>
      <c r="B11" t="s">
        <v>28</v>
      </c>
      <c r="C11">
        <v>18</v>
      </c>
      <c r="D11">
        <v>1000</v>
      </c>
      <c r="E11">
        <v>49.772644519805908</v>
      </c>
      <c r="F11">
        <v>188.96909566900001</v>
      </c>
      <c r="G11">
        <v>1.8670589230000001</v>
      </c>
      <c r="H11">
        <v>167.4226031303406</v>
      </c>
      <c r="I11">
        <f t="shared" si="0"/>
        <v>5.4858496093750002</v>
      </c>
      <c r="J11">
        <v>16</v>
      </c>
      <c r="K11">
        <v>5617.51</v>
      </c>
    </row>
    <row r="12" spans="1:11" x14ac:dyDescent="0.25">
      <c r="A12" s="2">
        <v>100</v>
      </c>
      <c r="B12" t="s">
        <v>25</v>
      </c>
      <c r="C12">
        <v>19</v>
      </c>
      <c r="D12">
        <v>11624</v>
      </c>
      <c r="E12">
        <v>9.1275913715362549</v>
      </c>
      <c r="F12">
        <v>357.38442713500001</v>
      </c>
      <c r="G12">
        <v>3.439171032</v>
      </c>
      <c r="H12">
        <v>63.744473218917847</v>
      </c>
      <c r="I12">
        <f t="shared" si="0"/>
        <v>9.9217675781249994</v>
      </c>
      <c r="J12">
        <v>28</v>
      </c>
      <c r="K12">
        <v>10159.89</v>
      </c>
    </row>
    <row r="13" spans="1:11" x14ac:dyDescent="0.25">
      <c r="A13" s="2">
        <v>100</v>
      </c>
      <c r="B13" t="s">
        <v>26</v>
      </c>
      <c r="C13">
        <v>19</v>
      </c>
      <c r="D13">
        <v>273</v>
      </c>
      <c r="E13">
        <v>3.9586412906646729</v>
      </c>
      <c r="F13">
        <v>360.30250111200002</v>
      </c>
      <c r="G13">
        <v>3.4826246099999998</v>
      </c>
      <c r="H13">
        <v>73.317306280136108</v>
      </c>
      <c r="I13">
        <f t="shared" si="0"/>
        <v>10.203974609375001</v>
      </c>
      <c r="J13">
        <v>28</v>
      </c>
      <c r="K13">
        <v>10448.870000000001</v>
      </c>
    </row>
    <row r="14" spans="1:11" x14ac:dyDescent="0.25">
      <c r="A14" s="2">
        <v>100</v>
      </c>
      <c r="B14" t="s">
        <v>27</v>
      </c>
      <c r="C14">
        <v>19</v>
      </c>
      <c r="D14">
        <v>273</v>
      </c>
      <c r="E14">
        <v>4.3278417587280273</v>
      </c>
      <c r="F14">
        <v>362.80784011999998</v>
      </c>
      <c r="G14">
        <v>3.396146849</v>
      </c>
      <c r="H14">
        <v>80.461363554000854</v>
      </c>
      <c r="I14">
        <f t="shared" si="0"/>
        <v>10.282753906250001</v>
      </c>
      <c r="J14">
        <v>28</v>
      </c>
      <c r="K14">
        <v>10529.54</v>
      </c>
    </row>
    <row r="15" spans="1:11" x14ac:dyDescent="0.25">
      <c r="A15" s="2">
        <v>100</v>
      </c>
      <c r="B15" t="s">
        <v>24</v>
      </c>
      <c r="C15">
        <v>19</v>
      </c>
      <c r="D15">
        <v>1</v>
      </c>
      <c r="E15">
        <v>3.0303947925567631</v>
      </c>
      <c r="F15">
        <v>354.35684043800001</v>
      </c>
      <c r="G15">
        <v>3.5967107249999999</v>
      </c>
      <c r="H15">
        <v>17.870550155639648</v>
      </c>
      <c r="I15">
        <f t="shared" si="0"/>
        <v>10.002744140625</v>
      </c>
      <c r="J15">
        <v>26</v>
      </c>
      <c r="K15">
        <v>10242.81</v>
      </c>
    </row>
    <row r="16" spans="1:11" x14ac:dyDescent="0.25">
      <c r="A16" s="2">
        <v>100</v>
      </c>
      <c r="B16" t="s">
        <v>28</v>
      </c>
      <c r="C16">
        <v>19</v>
      </c>
      <c r="D16">
        <v>1000</v>
      </c>
      <c r="E16">
        <v>1052.340576887131</v>
      </c>
      <c r="F16">
        <v>370.703395978</v>
      </c>
      <c r="G16">
        <v>3.4394040129999999</v>
      </c>
      <c r="H16">
        <v>651.26701760292053</v>
      </c>
      <c r="I16">
        <f t="shared" si="0"/>
        <v>11.391787109375</v>
      </c>
      <c r="J16">
        <v>30</v>
      </c>
      <c r="K16">
        <v>11665.19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FC09-E175-46E6-84C2-1C8534DC4F16}">
  <dimension ref="A1:K16"/>
  <sheetViews>
    <sheetView workbookViewId="0">
      <selection activeCell="B15" sqref="B15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13.28515625" bestFit="1" customWidth="1"/>
    <col min="10" max="10" width="9.85546875" bestFit="1" customWidth="1"/>
  </cols>
  <sheetData>
    <row r="1" spans="1:11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39</v>
      </c>
      <c r="H1" s="1" t="s">
        <v>36</v>
      </c>
      <c r="I1" s="4" t="s">
        <v>29</v>
      </c>
      <c r="J1" s="4" t="s">
        <v>37</v>
      </c>
      <c r="K1" s="4" t="s">
        <v>38</v>
      </c>
    </row>
    <row r="2" spans="1:11" x14ac:dyDescent="0.25">
      <c r="A2" s="2">
        <v>25</v>
      </c>
      <c r="B2" t="s">
        <v>25</v>
      </c>
      <c r="C2">
        <v>18</v>
      </c>
      <c r="D2">
        <v>7609</v>
      </c>
      <c r="E2">
        <v>3.9959721565246582</v>
      </c>
      <c r="F2">
        <v>182.44213361499999</v>
      </c>
      <c r="G2">
        <v>1.8671086640000001</v>
      </c>
      <c r="H2">
        <v>40.761738777160637</v>
      </c>
      <c r="I2">
        <f>K2/1024</f>
        <v>4.6024023437499997</v>
      </c>
      <c r="J2">
        <v>8.9</v>
      </c>
      <c r="K2">
        <v>4712.8599999999997</v>
      </c>
    </row>
    <row r="3" spans="1:11" x14ac:dyDescent="0.25">
      <c r="A3" s="2">
        <v>25</v>
      </c>
      <c r="B3" t="s">
        <v>26</v>
      </c>
      <c r="C3">
        <v>18</v>
      </c>
      <c r="D3">
        <v>17</v>
      </c>
      <c r="E3">
        <v>6.1681852340698242</v>
      </c>
      <c r="F3">
        <v>185.877451243</v>
      </c>
      <c r="G3">
        <v>1.8819943299999999</v>
      </c>
      <c r="H3">
        <v>24.485044002532959</v>
      </c>
      <c r="I3">
        <f t="shared" ref="I3:I16" si="0">K3/1024</f>
        <v>4.8210546875000002</v>
      </c>
      <c r="J3">
        <v>8.9</v>
      </c>
      <c r="K3">
        <v>4936.76</v>
      </c>
    </row>
    <row r="4" spans="1:11" x14ac:dyDescent="0.25">
      <c r="A4" s="2">
        <v>25</v>
      </c>
      <c r="B4" t="s">
        <v>27</v>
      </c>
      <c r="C4">
        <v>18</v>
      </c>
      <c r="D4">
        <v>17</v>
      </c>
      <c r="E4">
        <v>6.1492478847503662</v>
      </c>
      <c r="F4">
        <v>187.53958938700001</v>
      </c>
      <c r="G4">
        <v>1.8740743719999999</v>
      </c>
      <c r="H4">
        <v>26.01601600646973</v>
      </c>
      <c r="I4">
        <f t="shared" si="0"/>
        <v>4.8794628906249997</v>
      </c>
      <c r="J4">
        <v>8.9</v>
      </c>
      <c r="K4">
        <v>4996.57</v>
      </c>
    </row>
    <row r="5" spans="1:11" x14ac:dyDescent="0.25">
      <c r="A5" s="2">
        <v>25</v>
      </c>
      <c r="B5" t="s">
        <v>24</v>
      </c>
      <c r="C5">
        <v>18</v>
      </c>
      <c r="D5">
        <v>1</v>
      </c>
      <c r="E5">
        <v>5.6897425651550293</v>
      </c>
      <c r="F5">
        <v>183.11171694199999</v>
      </c>
      <c r="G5">
        <v>2.1578032359999999</v>
      </c>
      <c r="H5">
        <v>11.070473194122309</v>
      </c>
      <c r="I5">
        <f t="shared" si="0"/>
        <v>4.6653124999999998</v>
      </c>
      <c r="J5">
        <v>8.5</v>
      </c>
      <c r="K5">
        <v>4777.28</v>
      </c>
    </row>
    <row r="6" spans="1:11" x14ac:dyDescent="0.25">
      <c r="A6" s="2">
        <v>25</v>
      </c>
      <c r="B6" t="s">
        <v>28</v>
      </c>
      <c r="C6">
        <v>18</v>
      </c>
      <c r="D6">
        <v>187</v>
      </c>
      <c r="E6">
        <v>1555.46484375</v>
      </c>
      <c r="F6">
        <v>188.470351018</v>
      </c>
      <c r="G6">
        <v>1.8805883720000001</v>
      </c>
      <c r="H6">
        <v>69.02873969078064</v>
      </c>
      <c r="I6">
        <f t="shared" si="0"/>
        <v>8.3837695312499996</v>
      </c>
      <c r="J6">
        <v>10</v>
      </c>
      <c r="K6">
        <v>8584.98</v>
      </c>
    </row>
    <row r="7" spans="1:11" x14ac:dyDescent="0.25">
      <c r="A7" s="2">
        <v>50</v>
      </c>
      <c r="B7" t="s">
        <v>25</v>
      </c>
      <c r="C7">
        <v>19</v>
      </c>
      <c r="D7">
        <v>12579</v>
      </c>
      <c r="E7">
        <v>6.2950141429901123</v>
      </c>
      <c r="F7">
        <v>359.900024417</v>
      </c>
      <c r="G7">
        <v>3.447079354</v>
      </c>
      <c r="H7">
        <v>68.332580327987671</v>
      </c>
      <c r="I7">
        <f t="shared" si="0"/>
        <v>9.3940136718749994</v>
      </c>
      <c r="J7">
        <v>20</v>
      </c>
      <c r="K7">
        <v>9619.4699999999993</v>
      </c>
    </row>
    <row r="8" spans="1:11" x14ac:dyDescent="0.25">
      <c r="A8" s="2">
        <v>50</v>
      </c>
      <c r="B8" t="s">
        <v>26</v>
      </c>
      <c r="C8">
        <v>19</v>
      </c>
      <c r="D8">
        <v>34</v>
      </c>
      <c r="E8">
        <v>9.8129043579101563</v>
      </c>
      <c r="F8">
        <v>360.56614874600001</v>
      </c>
      <c r="G8">
        <v>3.4826246099999998</v>
      </c>
      <c r="H8">
        <v>42.846899271011353</v>
      </c>
      <c r="I8">
        <f t="shared" si="0"/>
        <v>9.7616992187499996</v>
      </c>
      <c r="J8">
        <v>20</v>
      </c>
      <c r="K8">
        <v>9995.98</v>
      </c>
    </row>
    <row r="9" spans="1:11" x14ac:dyDescent="0.25">
      <c r="A9" s="2">
        <v>50</v>
      </c>
      <c r="B9" t="s">
        <v>27</v>
      </c>
      <c r="C9">
        <v>19</v>
      </c>
      <c r="D9">
        <v>34</v>
      </c>
      <c r="E9">
        <v>9.996058464050293</v>
      </c>
      <c r="F9">
        <v>362.721431166</v>
      </c>
      <c r="G9">
        <v>3.431021624</v>
      </c>
      <c r="H9">
        <v>44.150554180145257</v>
      </c>
      <c r="I9">
        <f t="shared" si="0"/>
        <v>9.9270214843750004</v>
      </c>
      <c r="J9">
        <v>20</v>
      </c>
      <c r="K9">
        <v>10165.27</v>
      </c>
    </row>
    <row r="10" spans="1:11" x14ac:dyDescent="0.25">
      <c r="A10" s="2">
        <v>50</v>
      </c>
      <c r="B10" t="s">
        <v>24</v>
      </c>
      <c r="C10">
        <v>19</v>
      </c>
      <c r="D10">
        <v>1</v>
      </c>
      <c r="E10">
        <v>8.97548508644104</v>
      </c>
      <c r="F10">
        <v>357.18606927100001</v>
      </c>
      <c r="G10">
        <v>3.4082167010000002</v>
      </c>
      <c r="H10">
        <v>19.841279983520511</v>
      </c>
      <c r="I10">
        <f t="shared" si="0"/>
        <v>9.5826562499999994</v>
      </c>
      <c r="J10">
        <v>18</v>
      </c>
      <c r="K10">
        <v>9812.64</v>
      </c>
    </row>
    <row r="11" spans="1:11" x14ac:dyDescent="0.25">
      <c r="A11" s="2">
        <v>50</v>
      </c>
      <c r="B11" t="s">
        <v>28</v>
      </c>
      <c r="C11">
        <v>19</v>
      </c>
      <c r="D11">
        <v>276</v>
      </c>
      <c r="E11">
        <v>3707.0019555091858</v>
      </c>
      <c r="F11">
        <v>367.10626971200003</v>
      </c>
      <c r="G11">
        <v>3.4218214370000002</v>
      </c>
      <c r="H11">
        <v>107.7042288780212</v>
      </c>
      <c r="I11">
        <f t="shared" si="0"/>
        <v>16.019482421875001</v>
      </c>
      <c r="J11">
        <v>25</v>
      </c>
      <c r="K11">
        <v>16403.95</v>
      </c>
    </row>
    <row r="12" spans="1:11" x14ac:dyDescent="0.25">
      <c r="A12" s="2">
        <v>100</v>
      </c>
      <c r="B12" t="s">
        <v>25</v>
      </c>
      <c r="C12">
        <v>19</v>
      </c>
      <c r="D12">
        <v>20367</v>
      </c>
      <c r="E12">
        <v>10.16359710693359</v>
      </c>
      <c r="F12">
        <v>361.44400546100002</v>
      </c>
      <c r="G12">
        <v>3.459171032</v>
      </c>
      <c r="H12">
        <v>103.0709517002106</v>
      </c>
      <c r="I12">
        <f t="shared" si="0"/>
        <v>10.142177734375</v>
      </c>
      <c r="J12">
        <v>28</v>
      </c>
      <c r="K12">
        <v>10385.59</v>
      </c>
    </row>
    <row r="13" spans="1:11" x14ac:dyDescent="0.25">
      <c r="A13" s="2">
        <v>100</v>
      </c>
      <c r="B13" t="s">
        <v>26</v>
      </c>
      <c r="C13">
        <v>19</v>
      </c>
      <c r="D13">
        <v>63</v>
      </c>
      <c r="E13">
        <v>15.339170932769781</v>
      </c>
      <c r="F13">
        <v>361.52673312600001</v>
      </c>
      <c r="G13">
        <v>3.6641168130000001</v>
      </c>
      <c r="H13">
        <v>51.531718015670783</v>
      </c>
      <c r="I13">
        <f t="shared" si="0"/>
        <v>10.400078125</v>
      </c>
      <c r="J13">
        <v>28</v>
      </c>
      <c r="K13">
        <v>10649.68</v>
      </c>
    </row>
    <row r="14" spans="1:11" x14ac:dyDescent="0.25">
      <c r="A14" s="2">
        <v>100</v>
      </c>
      <c r="B14" t="s">
        <v>27</v>
      </c>
      <c r="C14">
        <v>19</v>
      </c>
      <c r="D14">
        <v>63</v>
      </c>
      <c r="E14">
        <v>15.397366046905519</v>
      </c>
      <c r="F14">
        <v>363.81420489300001</v>
      </c>
      <c r="G14">
        <v>3.4756610559999999</v>
      </c>
      <c r="H14">
        <v>55.438335657119751</v>
      </c>
      <c r="I14">
        <f t="shared" si="0"/>
        <v>10.556064453125</v>
      </c>
      <c r="J14">
        <v>28</v>
      </c>
      <c r="K14">
        <v>10809.41</v>
      </c>
    </row>
    <row r="15" spans="1:11" x14ac:dyDescent="0.25">
      <c r="A15" s="2">
        <v>100</v>
      </c>
      <c r="B15" t="s">
        <v>24</v>
      </c>
      <c r="C15">
        <v>19</v>
      </c>
      <c r="D15">
        <v>1</v>
      </c>
      <c r="E15">
        <v>14.45025849342346</v>
      </c>
      <c r="F15">
        <v>358.887178758</v>
      </c>
      <c r="G15">
        <v>3.4587980749999998</v>
      </c>
      <c r="H15">
        <v>19.46701288223267</v>
      </c>
      <c r="I15">
        <f t="shared" si="0"/>
        <v>10.21271484375</v>
      </c>
      <c r="J15">
        <v>27</v>
      </c>
      <c r="K15">
        <v>10457.82</v>
      </c>
    </row>
    <row r="16" spans="1:11" x14ac:dyDescent="0.25">
      <c r="A16" s="2">
        <v>100</v>
      </c>
      <c r="B16" t="s">
        <v>28</v>
      </c>
      <c r="C16">
        <v>19</v>
      </c>
      <c r="D16">
        <v>360</v>
      </c>
      <c r="E16">
        <v>8348.8128654956818</v>
      </c>
      <c r="F16">
        <v>368.82472412099997</v>
      </c>
      <c r="G16">
        <v>3.466408511</v>
      </c>
      <c r="H16">
        <v>126.7946817874908</v>
      </c>
      <c r="I16">
        <f t="shared" si="0"/>
        <v>21.79001953125</v>
      </c>
      <c r="J16">
        <v>35</v>
      </c>
      <c r="K16">
        <v>22312.98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66A1-A5E4-4208-BD66-2FCB92AA77B6}">
  <dimension ref="A1:K16"/>
  <sheetViews>
    <sheetView tabSelected="1" workbookViewId="0">
      <selection activeCell="D21" sqref="D21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13.28515625" bestFit="1" customWidth="1"/>
  </cols>
  <sheetData>
    <row r="1" spans="1:11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39</v>
      </c>
      <c r="H1" s="1" t="s">
        <v>36</v>
      </c>
      <c r="I1" s="4" t="s">
        <v>29</v>
      </c>
      <c r="J1" s="4" t="s">
        <v>37</v>
      </c>
      <c r="K1" s="4" t="s">
        <v>38</v>
      </c>
    </row>
    <row r="2" spans="1:11" x14ac:dyDescent="0.25">
      <c r="A2" s="2">
        <v>25</v>
      </c>
      <c r="B2" t="s">
        <v>25</v>
      </c>
      <c r="C2">
        <v>17</v>
      </c>
      <c r="D2">
        <v>227</v>
      </c>
      <c r="E2">
        <v>0.20319342613220209</v>
      </c>
      <c r="F2">
        <v>94.404121171</v>
      </c>
      <c r="G2">
        <v>1.0569183449999999</v>
      </c>
      <c r="H2">
        <v>4.1363911628723136</v>
      </c>
      <c r="I2">
        <f>K2/1024</f>
        <v>2.3379589843750002</v>
      </c>
      <c r="J2">
        <v>6.9</v>
      </c>
      <c r="K2">
        <v>2394.0700000000002</v>
      </c>
    </row>
    <row r="3" spans="1:11" x14ac:dyDescent="0.25">
      <c r="A3" s="2">
        <v>25</v>
      </c>
      <c r="B3" t="s">
        <v>26</v>
      </c>
      <c r="C3">
        <v>17</v>
      </c>
      <c r="D3">
        <v>3</v>
      </c>
      <c r="E3">
        <v>1.750823974609375</v>
      </c>
      <c r="F3">
        <v>96.979555844999993</v>
      </c>
      <c r="G3">
        <v>1.064572809</v>
      </c>
      <c r="H3">
        <v>11.170616388320919</v>
      </c>
      <c r="I3">
        <f t="shared" ref="I3:I16" si="0">K3/1024</f>
        <v>3.0250878906250001</v>
      </c>
      <c r="J3">
        <v>6.9</v>
      </c>
      <c r="K3">
        <v>3097.69</v>
      </c>
    </row>
    <row r="4" spans="1:11" x14ac:dyDescent="0.25">
      <c r="A4" s="2">
        <v>25</v>
      </c>
      <c r="B4" t="s">
        <v>27</v>
      </c>
      <c r="C4">
        <v>17</v>
      </c>
      <c r="D4">
        <v>3</v>
      </c>
      <c r="E4">
        <v>0.47144174575805659</v>
      </c>
      <c r="F4">
        <v>97.490035911999996</v>
      </c>
      <c r="G4">
        <v>1.0444855449999999</v>
      </c>
      <c r="H4">
        <v>12.288981676101679</v>
      </c>
      <c r="I4">
        <f t="shared" si="0"/>
        <v>3.0593945312500002</v>
      </c>
      <c r="J4">
        <v>6.9</v>
      </c>
      <c r="K4">
        <v>3132.82</v>
      </c>
    </row>
    <row r="5" spans="1:11" x14ac:dyDescent="0.25">
      <c r="A5" s="2">
        <v>25</v>
      </c>
      <c r="B5" t="s">
        <v>24</v>
      </c>
      <c r="C5">
        <v>17</v>
      </c>
      <c r="D5">
        <v>1</v>
      </c>
      <c r="E5">
        <v>0.35034394264221191</v>
      </c>
      <c r="F5">
        <v>93.495042781999999</v>
      </c>
      <c r="G5">
        <v>1.046061192</v>
      </c>
      <c r="H5">
        <v>5.1880824565887451</v>
      </c>
      <c r="I5">
        <f t="shared" si="0"/>
        <v>2.9044531249999999</v>
      </c>
      <c r="J5">
        <v>6.8</v>
      </c>
      <c r="K5">
        <v>2974.16</v>
      </c>
    </row>
    <row r="6" spans="1:11" x14ac:dyDescent="0.25">
      <c r="A6" s="2">
        <v>25</v>
      </c>
      <c r="B6" t="s">
        <v>28</v>
      </c>
      <c r="C6">
        <v>17</v>
      </c>
      <c r="D6">
        <v>4</v>
      </c>
      <c r="E6">
        <v>1.243052005767822</v>
      </c>
      <c r="F6">
        <v>98.754815922999995</v>
      </c>
      <c r="G6">
        <v>1.050751478</v>
      </c>
      <c r="H6">
        <v>18.046691417694088</v>
      </c>
      <c r="I6">
        <f t="shared" si="0"/>
        <v>3.22408203125</v>
      </c>
      <c r="J6">
        <v>7</v>
      </c>
      <c r="K6">
        <v>3301.46</v>
      </c>
    </row>
    <row r="7" spans="1:11" x14ac:dyDescent="0.25">
      <c r="A7" s="2">
        <v>50</v>
      </c>
      <c r="B7" t="s">
        <v>25</v>
      </c>
      <c r="C7">
        <v>18</v>
      </c>
      <c r="D7">
        <v>0</v>
      </c>
      <c r="E7">
        <v>0.2025260925292969</v>
      </c>
      <c r="F7">
        <v>181.689970348</v>
      </c>
      <c r="G7">
        <v>1.891916514</v>
      </c>
      <c r="H7">
        <v>5.659299373626709</v>
      </c>
      <c r="I7">
        <f t="shared" si="0"/>
        <v>4.5110742187500001</v>
      </c>
      <c r="J7">
        <v>18</v>
      </c>
      <c r="K7">
        <v>4619.34</v>
      </c>
    </row>
    <row r="8" spans="1:11" x14ac:dyDescent="0.25">
      <c r="A8" s="2">
        <v>50</v>
      </c>
      <c r="B8" t="s">
        <v>26</v>
      </c>
      <c r="C8">
        <v>18</v>
      </c>
      <c r="D8">
        <v>21</v>
      </c>
      <c r="E8">
        <v>0.57184553146362305</v>
      </c>
      <c r="F8">
        <v>184.43443976699999</v>
      </c>
      <c r="G8">
        <v>1.873982298</v>
      </c>
      <c r="H8">
        <v>18.77040600776672</v>
      </c>
      <c r="I8">
        <f t="shared" si="0"/>
        <v>5.9237792968749998</v>
      </c>
      <c r="J8">
        <v>18</v>
      </c>
      <c r="K8">
        <v>6065.95</v>
      </c>
    </row>
    <row r="9" spans="1:11" x14ac:dyDescent="0.25">
      <c r="A9" s="2">
        <v>50</v>
      </c>
      <c r="B9" t="s">
        <v>27</v>
      </c>
      <c r="C9">
        <v>18</v>
      </c>
      <c r="D9">
        <v>21</v>
      </c>
      <c r="E9">
        <v>0.5814661979675293</v>
      </c>
      <c r="F9">
        <v>186.451209947</v>
      </c>
      <c r="G9">
        <v>1.8832122330000001</v>
      </c>
      <c r="H9">
        <v>21.01609110832214</v>
      </c>
      <c r="I9">
        <f t="shared" si="0"/>
        <v>6.0237695312500001</v>
      </c>
      <c r="J9">
        <v>18.5</v>
      </c>
      <c r="K9">
        <v>6168.34</v>
      </c>
    </row>
    <row r="10" spans="1:11" x14ac:dyDescent="0.25">
      <c r="A10" s="2">
        <v>50</v>
      </c>
      <c r="B10" t="s">
        <v>24</v>
      </c>
      <c r="C10">
        <v>18</v>
      </c>
      <c r="D10">
        <v>1</v>
      </c>
      <c r="E10">
        <v>0.56759786605834961</v>
      </c>
      <c r="F10">
        <v>183.341760728</v>
      </c>
      <c r="G10">
        <v>1.896440573</v>
      </c>
      <c r="H10">
        <v>10.25874972343445</v>
      </c>
      <c r="I10">
        <f t="shared" si="0"/>
        <v>5.7982031249999997</v>
      </c>
      <c r="J10">
        <v>18</v>
      </c>
      <c r="K10">
        <v>5937.36</v>
      </c>
    </row>
    <row r="11" spans="1:11" x14ac:dyDescent="0.25">
      <c r="A11" s="2">
        <v>50</v>
      </c>
      <c r="B11" t="s">
        <v>28</v>
      </c>
      <c r="C11">
        <v>18</v>
      </c>
      <c r="D11">
        <v>22</v>
      </c>
      <c r="E11">
        <v>5.5024275779724121</v>
      </c>
      <c r="F11">
        <v>188.42137129700001</v>
      </c>
      <c r="G11">
        <v>1.868828274</v>
      </c>
      <c r="H11">
        <v>31.889566421508789</v>
      </c>
      <c r="I11">
        <f t="shared" si="0"/>
        <v>6.2085546875000004</v>
      </c>
      <c r="J11">
        <v>25</v>
      </c>
      <c r="K11">
        <v>6357.56</v>
      </c>
    </row>
    <row r="12" spans="1:11" x14ac:dyDescent="0.25">
      <c r="A12" s="2">
        <v>100</v>
      </c>
      <c r="B12" t="s">
        <v>25</v>
      </c>
      <c r="C12">
        <v>19</v>
      </c>
      <c r="D12">
        <v>1</v>
      </c>
      <c r="E12">
        <v>0.21377849578857419</v>
      </c>
      <c r="F12">
        <v>354.56148209600002</v>
      </c>
      <c r="G12">
        <v>3.6858097079999999</v>
      </c>
      <c r="H12">
        <v>11.382223129272459</v>
      </c>
      <c r="I12">
        <f t="shared" si="0"/>
        <v>8.7917871093750009</v>
      </c>
      <c r="J12">
        <v>28</v>
      </c>
      <c r="K12">
        <v>9002.7900000000009</v>
      </c>
    </row>
    <row r="13" spans="1:11" x14ac:dyDescent="0.25">
      <c r="A13" s="2">
        <v>100</v>
      </c>
      <c r="B13" t="s">
        <v>26</v>
      </c>
      <c r="C13">
        <v>19</v>
      </c>
      <c r="D13">
        <v>298</v>
      </c>
      <c r="E13">
        <v>1.6744933128356929</v>
      </c>
      <c r="F13">
        <v>362.37351206300002</v>
      </c>
      <c r="G13">
        <v>3.4700652270000001</v>
      </c>
      <c r="H13">
        <v>78.243307590484619</v>
      </c>
      <c r="I13">
        <f t="shared" si="0"/>
        <v>11.212705078125</v>
      </c>
      <c r="J13">
        <v>28</v>
      </c>
      <c r="K13">
        <v>11481.81</v>
      </c>
    </row>
    <row r="14" spans="1:11" x14ac:dyDescent="0.25">
      <c r="A14" s="2">
        <v>100</v>
      </c>
      <c r="B14" t="s">
        <v>27</v>
      </c>
      <c r="C14">
        <v>19</v>
      </c>
      <c r="D14">
        <v>298</v>
      </c>
      <c r="E14">
        <v>1.729709148406982</v>
      </c>
      <c r="F14">
        <v>364.06812779400002</v>
      </c>
      <c r="G14">
        <v>3.4079128930000002</v>
      </c>
      <c r="H14">
        <v>80.169402360916138</v>
      </c>
      <c r="I14">
        <f t="shared" si="0"/>
        <v>11.276064453125</v>
      </c>
      <c r="J14">
        <v>28</v>
      </c>
      <c r="K14">
        <v>11546.69</v>
      </c>
    </row>
    <row r="15" spans="1:11" x14ac:dyDescent="0.25">
      <c r="A15" s="2">
        <v>100</v>
      </c>
      <c r="B15" t="s">
        <v>24</v>
      </c>
      <c r="C15">
        <v>19</v>
      </c>
      <c r="D15">
        <v>1</v>
      </c>
      <c r="E15">
        <v>1.259813547134399</v>
      </c>
      <c r="F15">
        <v>355.17993994400001</v>
      </c>
      <c r="G15">
        <v>3.4692577230000001</v>
      </c>
      <c r="H15">
        <v>16.579630851745609</v>
      </c>
      <c r="I15">
        <f t="shared" si="0"/>
        <v>10.96337890625</v>
      </c>
      <c r="J15">
        <v>28</v>
      </c>
      <c r="K15">
        <v>11226.5</v>
      </c>
    </row>
    <row r="16" spans="1:11" x14ac:dyDescent="0.25">
      <c r="A16" s="2">
        <v>100</v>
      </c>
      <c r="B16" t="s">
        <v>28</v>
      </c>
      <c r="C16">
        <v>19</v>
      </c>
      <c r="D16">
        <v>298</v>
      </c>
      <c r="E16">
        <v>131.1703984737396</v>
      </c>
      <c r="F16">
        <v>364.64659555999998</v>
      </c>
      <c r="G16">
        <v>3.4535034960000002</v>
      </c>
      <c r="H16">
        <v>101.16583561897281</v>
      </c>
      <c r="I16">
        <f t="shared" si="0"/>
        <v>11.588759765624999</v>
      </c>
      <c r="J16">
        <v>35</v>
      </c>
      <c r="K16">
        <v>11866.89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A226-F5A6-4A98-8238-6D1555C1E612}">
  <dimension ref="A1:K7"/>
  <sheetViews>
    <sheetView workbookViewId="0">
      <selection activeCell="H1" sqref="H1"/>
    </sheetView>
  </sheetViews>
  <sheetFormatPr defaultRowHeight="15" x14ac:dyDescent="0.25"/>
  <cols>
    <col min="1" max="1" width="12.85546875" bestFit="1" customWidth="1"/>
    <col min="2" max="2" width="6.425781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13.28515625" bestFit="1" customWidth="1"/>
  </cols>
  <sheetData>
    <row r="1" spans="1:11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39</v>
      </c>
      <c r="H1" s="1" t="s">
        <v>36</v>
      </c>
      <c r="I1" s="4" t="s">
        <v>29</v>
      </c>
      <c r="J1" s="4" t="s">
        <v>37</v>
      </c>
      <c r="K1" s="4" t="s">
        <v>38</v>
      </c>
    </row>
    <row r="2" spans="1:11" x14ac:dyDescent="0.25">
      <c r="A2" t="s">
        <v>30</v>
      </c>
      <c r="B2" t="s">
        <v>24</v>
      </c>
      <c r="C2">
        <v>16</v>
      </c>
      <c r="D2">
        <v>0</v>
      </c>
      <c r="E2">
        <v>0</v>
      </c>
      <c r="F2">
        <v>94.283569999999997</v>
      </c>
      <c r="G2">
        <v>0</v>
      </c>
      <c r="H2">
        <v>5.9769800000000002</v>
      </c>
      <c r="I2">
        <f>K2/1024</f>
        <v>1.27201171875</v>
      </c>
      <c r="K2">
        <v>1302.54</v>
      </c>
    </row>
    <row r="3" spans="1:11" x14ac:dyDescent="0.25">
      <c r="A3" t="s">
        <v>30</v>
      </c>
      <c r="B3" t="s">
        <v>25</v>
      </c>
      <c r="C3">
        <v>16</v>
      </c>
      <c r="D3">
        <v>0</v>
      </c>
      <c r="E3">
        <v>0</v>
      </c>
      <c r="F3">
        <v>92.511350100000001</v>
      </c>
      <c r="G3">
        <v>0</v>
      </c>
      <c r="H3">
        <v>25.300184249800001</v>
      </c>
      <c r="I3">
        <f t="shared" ref="I3:I7" si="0">K3/1024</f>
        <v>1.2906445312499999</v>
      </c>
      <c r="K3">
        <v>1321.62</v>
      </c>
    </row>
    <row r="4" spans="1:11" x14ac:dyDescent="0.25">
      <c r="A4" t="s">
        <v>30</v>
      </c>
      <c r="B4" t="s">
        <v>26</v>
      </c>
      <c r="C4">
        <v>16</v>
      </c>
      <c r="D4">
        <v>0</v>
      </c>
      <c r="E4">
        <v>0</v>
      </c>
      <c r="F4">
        <v>107.88930000000001</v>
      </c>
      <c r="G4">
        <v>0</v>
      </c>
      <c r="H4">
        <v>34.277099999999997</v>
      </c>
      <c r="I4">
        <f t="shared" si="0"/>
        <v>1.3832421875000001</v>
      </c>
      <c r="K4">
        <v>1416.44</v>
      </c>
    </row>
    <row r="5" spans="1:11" x14ac:dyDescent="0.25">
      <c r="A5" t="s">
        <v>31</v>
      </c>
      <c r="B5" t="s">
        <v>24</v>
      </c>
      <c r="C5">
        <v>16</v>
      </c>
      <c r="D5">
        <v>0</v>
      </c>
      <c r="E5">
        <v>0</v>
      </c>
      <c r="F5">
        <v>34.06756</v>
      </c>
      <c r="G5">
        <v>0</v>
      </c>
      <c r="H5">
        <v>34.06756</v>
      </c>
      <c r="I5">
        <f t="shared" si="0"/>
        <v>1.633994140625</v>
      </c>
      <c r="K5">
        <v>1673.21</v>
      </c>
    </row>
    <row r="6" spans="1:11" x14ac:dyDescent="0.25">
      <c r="A6" t="s">
        <v>31</v>
      </c>
      <c r="B6" t="s">
        <v>25</v>
      </c>
      <c r="C6">
        <v>16</v>
      </c>
      <c r="D6">
        <v>0</v>
      </c>
      <c r="E6">
        <v>0</v>
      </c>
      <c r="F6">
        <v>60.285357585</v>
      </c>
      <c r="G6">
        <v>0</v>
      </c>
      <c r="H6">
        <v>60.285357585</v>
      </c>
      <c r="I6">
        <f t="shared" si="0"/>
        <v>1.844951171875</v>
      </c>
      <c r="K6">
        <v>1889.23</v>
      </c>
    </row>
    <row r="7" spans="1:11" x14ac:dyDescent="0.25">
      <c r="A7" t="s">
        <v>31</v>
      </c>
      <c r="B7" t="s">
        <v>26</v>
      </c>
      <c r="C7">
        <v>16</v>
      </c>
      <c r="D7">
        <v>0</v>
      </c>
      <c r="E7">
        <v>0</v>
      </c>
      <c r="F7">
        <v>76.277760000000001</v>
      </c>
      <c r="G7">
        <v>0</v>
      </c>
      <c r="H7">
        <v>76.277760000000001</v>
      </c>
      <c r="I7">
        <f t="shared" si="0"/>
        <v>2.008994140625</v>
      </c>
      <c r="K7">
        <v>2057.21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48E8-895B-453C-BC61-2624AF8420AB}">
  <dimension ref="A1:B9"/>
  <sheetViews>
    <sheetView workbookViewId="0">
      <selection activeCell="P21" sqref="P21"/>
    </sheetView>
  </sheetViews>
  <sheetFormatPr defaultRowHeight="15" x14ac:dyDescent="0.25"/>
  <cols>
    <col min="1" max="1" width="23.28515625" bestFit="1" customWidth="1"/>
    <col min="2" max="2" width="13.85546875" bestFit="1" customWidth="1"/>
  </cols>
  <sheetData>
    <row r="1" spans="1:2" x14ac:dyDescent="0.25">
      <c r="A1" s="1" t="s">
        <v>32</v>
      </c>
      <c r="B1" s="1" t="s">
        <v>36</v>
      </c>
    </row>
    <row r="2" spans="1:2" x14ac:dyDescent="0.25">
      <c r="A2" t="s">
        <v>33</v>
      </c>
      <c r="B2">
        <v>6.3574999999999999</v>
      </c>
    </row>
    <row r="3" spans="1:2" x14ac:dyDescent="0.25">
      <c r="A3" t="s">
        <v>40</v>
      </c>
      <c r="B3">
        <v>94.953100000000006</v>
      </c>
    </row>
    <row r="4" spans="1:2" x14ac:dyDescent="0.25">
      <c r="A4" t="s">
        <v>41</v>
      </c>
      <c r="B4">
        <v>29.642399999999999</v>
      </c>
    </row>
    <row r="5" spans="1:2" x14ac:dyDescent="0.25">
      <c r="A5" t="s">
        <v>42</v>
      </c>
      <c r="B5">
        <v>3.3828</v>
      </c>
    </row>
    <row r="6" spans="1:2" x14ac:dyDescent="0.25">
      <c r="A6" t="s">
        <v>43</v>
      </c>
      <c r="B6">
        <v>1.6611</v>
      </c>
    </row>
    <row r="7" spans="1:2" x14ac:dyDescent="0.25">
      <c r="A7" t="s">
        <v>34</v>
      </c>
      <c r="B7">
        <v>43.620800000000003</v>
      </c>
    </row>
    <row r="8" spans="1:2" x14ac:dyDescent="0.25">
      <c r="A8" t="s">
        <v>44</v>
      </c>
      <c r="B8">
        <v>0.41070000000000001</v>
      </c>
    </row>
    <row r="9" spans="1:2" x14ac:dyDescent="0.25">
      <c r="A9" t="s">
        <v>45</v>
      </c>
      <c r="B9">
        <v>0.52849999999999997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25pct</vt:lpstr>
      <vt:lpstr>50pct</vt:lpstr>
      <vt:lpstr>100pct</vt:lpstr>
      <vt:lpstr>swdf</vt:lpstr>
      <vt:lpstr>drugbank</vt:lpstr>
      <vt:lpstr>bsbm</vt:lpstr>
      <vt:lpstr>bsbm_compared</vt:lpstr>
      <vt:lpstr>swdf_single_gate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QUAN</cp:lastModifiedBy>
  <dcterms:created xsi:type="dcterms:W3CDTF">2025-06-18T07:18:41Z</dcterms:created>
  <dcterms:modified xsi:type="dcterms:W3CDTF">2025-06-27T13:59:59Z</dcterms:modified>
</cp:coreProperties>
</file>